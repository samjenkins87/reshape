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terpublic-my.sharepoint.com/personal/luz_valanzasca_fcb_com/Documents/Desktop/"/>
    </mc:Choice>
  </mc:AlternateContent>
  <xr:revisionPtr revIDLastSave="14" documentId="8_{3EF1B3CD-C504-4766-AE43-982AE2F9AB31}" xr6:coauthVersionLast="47" xr6:coauthVersionMax="47" xr10:uidLastSave="{558813AF-93CB-45D7-ADFC-710880E21491}"/>
  <bookViews>
    <workbookView xWindow="28680" yWindow="-120" windowWidth="29040" windowHeight="15720" xr2:uid="{2DEECD2E-AB12-4C36-9087-B70533890B7E}"/>
  </bookViews>
  <sheets>
    <sheet name="1. Summary by Type of Task" sheetId="1" r:id="rId1"/>
    <sheet name="2. Average Salary by Role" sheetId="2" r:id="rId2"/>
  </sheets>
  <definedNames>
    <definedName name="_xlnm.Print_Area" localSheetId="0">'1. Summary by Type of Task'!$A$1:$L$37</definedName>
    <definedName name="_xlnm.Print_Area" localSheetId="1">'2. Average Salary by Role'!$A$1:$D$34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1" l="1"/>
  <c r="H35" i="1"/>
  <c r="H6" i="1"/>
  <c r="I6" i="1"/>
  <c r="J6" i="1"/>
  <c r="H7" i="1"/>
  <c r="I7" i="1"/>
  <c r="J7" i="1"/>
  <c r="H8" i="1"/>
  <c r="I8" i="1"/>
  <c r="J8" i="1"/>
  <c r="H9" i="1"/>
  <c r="I9" i="1"/>
  <c r="J9" i="1"/>
  <c r="H10" i="1"/>
  <c r="I10" i="1"/>
  <c r="J10" i="1"/>
  <c r="H11" i="1"/>
  <c r="I11" i="1"/>
  <c r="J11" i="1"/>
  <c r="H12" i="1"/>
  <c r="I12" i="1"/>
  <c r="J12" i="1"/>
  <c r="H13" i="1"/>
  <c r="I13" i="1"/>
  <c r="J13" i="1"/>
  <c r="H14" i="1"/>
  <c r="I14" i="1"/>
  <c r="J14" i="1"/>
  <c r="H15" i="1"/>
  <c r="I15" i="1"/>
  <c r="J15" i="1"/>
  <c r="H16" i="1"/>
  <c r="I16" i="1"/>
  <c r="J16" i="1"/>
  <c r="H17" i="1"/>
  <c r="I17" i="1"/>
  <c r="J17" i="1"/>
  <c r="H18" i="1"/>
  <c r="I18" i="1"/>
  <c r="J18" i="1"/>
  <c r="H19" i="1"/>
  <c r="I19" i="1"/>
  <c r="J19" i="1"/>
  <c r="H20" i="1"/>
  <c r="I20" i="1"/>
  <c r="J20" i="1"/>
  <c r="H21" i="1"/>
  <c r="I21" i="1"/>
  <c r="J21" i="1"/>
  <c r="H22" i="1"/>
  <c r="I22" i="1"/>
  <c r="J22" i="1"/>
  <c r="H23" i="1"/>
  <c r="I23" i="1"/>
  <c r="J23" i="1"/>
  <c r="H24" i="1"/>
  <c r="I24" i="1"/>
  <c r="J24" i="1"/>
  <c r="H25" i="1"/>
  <c r="I25" i="1"/>
  <c r="J25" i="1"/>
  <c r="H26" i="1"/>
  <c r="I26" i="1"/>
  <c r="J26" i="1"/>
  <c r="H27" i="1"/>
  <c r="I27" i="1"/>
  <c r="J27" i="1"/>
  <c r="H28" i="1"/>
  <c r="I28" i="1"/>
  <c r="J28" i="1"/>
  <c r="H29" i="1"/>
  <c r="I29" i="1"/>
  <c r="J29" i="1"/>
  <c r="H30" i="1"/>
  <c r="I30" i="1"/>
  <c r="J30" i="1"/>
  <c r="H31" i="1"/>
  <c r="I31" i="1"/>
  <c r="J31" i="1"/>
  <c r="H32" i="1"/>
  <c r="I32" i="1"/>
  <c r="J32" i="1"/>
  <c r="H33" i="1"/>
  <c r="I33" i="1"/>
  <c r="J33" i="1"/>
  <c r="H34" i="1"/>
  <c r="I34" i="1"/>
  <c r="J34" i="1"/>
  <c r="I35" i="1"/>
  <c r="J35" i="1"/>
  <c r="J5" i="1"/>
  <c r="I5" i="1"/>
  <c r="H5" i="1"/>
  <c r="J4" i="1"/>
  <c r="I4" i="1"/>
  <c r="H4" i="1"/>
  <c r="I3" i="1"/>
  <c r="J3" i="1"/>
  <c r="H3" i="1"/>
  <c r="C35" i="1"/>
  <c r="D35" i="1"/>
  <c r="E35" i="1"/>
  <c r="F35" i="1"/>
  <c r="B35" i="1"/>
  <c r="C28" i="1"/>
  <c r="D28" i="1"/>
  <c r="E28" i="1"/>
  <c r="F28" i="1"/>
  <c r="B28" i="1"/>
  <c r="C18" i="1"/>
  <c r="D18" i="1"/>
  <c r="E18" i="1"/>
  <c r="F18" i="1"/>
  <c r="C6" i="1"/>
  <c r="D6" i="1"/>
  <c r="E6" i="1"/>
  <c r="F6" i="1"/>
  <c r="B6" i="1"/>
  <c r="C3" i="1"/>
  <c r="D3" i="1"/>
  <c r="E3" i="1"/>
  <c r="F3" i="1"/>
  <c r="B3" i="1"/>
</calcChain>
</file>

<file path=xl/sharedStrings.xml><?xml version="1.0" encoding="utf-8"?>
<sst xmlns="http://schemas.openxmlformats.org/spreadsheetml/2006/main" count="75" uniqueCount="44">
  <si>
    <t>Department</t>
  </si>
  <si>
    <t xml:space="preserve">Total Available Hours </t>
  </si>
  <si>
    <t xml:space="preserve">Total Utilised Hours </t>
  </si>
  <si>
    <t>1. Highly commoditised / rules-based tasks</t>
  </si>
  <si>
    <t>2. Semi-judgemental tasks</t>
  </si>
  <si>
    <t>3. Highly judgemental tasks</t>
  </si>
  <si>
    <t>Strategy</t>
  </si>
  <si>
    <t>TBC</t>
  </si>
  <si>
    <t>Group Strategy &amp; Product Director</t>
  </si>
  <si>
    <t>Account Service</t>
  </si>
  <si>
    <t>Group Business Director</t>
  </si>
  <si>
    <t>Communications Design Director</t>
  </si>
  <si>
    <t>Group Digital Planning Director</t>
  </si>
  <si>
    <t>Business Director</t>
  </si>
  <si>
    <t>Associate Business Director</t>
  </si>
  <si>
    <t>Digital Director</t>
  </si>
  <si>
    <t>Account Director</t>
  </si>
  <si>
    <t>Senior Account Manager</t>
  </si>
  <si>
    <t>Account Manager</t>
  </si>
  <si>
    <t>Digital Account Manager</t>
  </si>
  <si>
    <t>Account Executive</t>
  </si>
  <si>
    <t>Activation</t>
  </si>
  <si>
    <t>General Manager, Digital Consulting</t>
  </si>
  <si>
    <t>Sr Search Director</t>
  </si>
  <si>
    <t>Search Director</t>
  </si>
  <si>
    <t>Head of Performance</t>
  </si>
  <si>
    <t>Activation Manager</t>
  </si>
  <si>
    <t>Performance Manager</t>
  </si>
  <si>
    <t>Senior Activation Planner</t>
  </si>
  <si>
    <t>Senior Activation Executive</t>
  </si>
  <si>
    <t>Activation Executive</t>
  </si>
  <si>
    <t>Investment and Partnerships</t>
  </si>
  <si>
    <t>Chief Investment Officer</t>
  </si>
  <si>
    <t>Investment &amp; Partnerships Director</t>
  </si>
  <si>
    <t>Associate Investment &amp; Partnerships Director</t>
  </si>
  <si>
    <t>Investment Manager</t>
  </si>
  <si>
    <t>Sr Investment Executive</t>
  </si>
  <si>
    <t>Investment Executive</t>
  </si>
  <si>
    <t>Grand Total</t>
  </si>
  <si>
    <t>Role</t>
  </si>
  <si>
    <t>Average Salary</t>
  </si>
  <si>
    <t>Chief Strategy Officer</t>
  </si>
  <si>
    <t>Media Account Service</t>
  </si>
  <si>
    <t>Sr Account Executive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</si>
</sst>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&quot;$&quot;#,##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2" fillId="2" borderId="0" xfId="0" applyFont="1" applyFill="1" applyAlignment="1">
      <alignment vertical="center"/>
    </xf>
    <xf numFmtId="0" fontId="3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left"/>
    </xf>
    <xf numFmtId="9" fontId="0" fillId="3" borderId="2" xfId="2" applyFont="1" applyFill="1" applyBorder="1"/>
    <xf numFmtId="0" fontId="3" fillId="4" borderId="0" xfId="0" applyFont="1" applyFill="1" applyAlignment="1">
      <alignment horizontal="left" indent="1"/>
    </xf>
    <xf numFmtId="9" fontId="0" fillId="0" borderId="0" xfId="2" applyFont="1"/>
    <xf numFmtId="0" fontId="0" fillId="0" borderId="0" xfId="0" applyAlignment="1">
      <alignment horizontal="left" indent="1"/>
    </xf>
    <xf numFmtId="0" fontId="2" fillId="5" borderId="0" xfId="0" applyFont="1" applyFill="1" applyAlignment="1">
      <alignment horizontal="left"/>
    </xf>
    <xf numFmtId="9" fontId="2" fillId="5" borderId="0" xfId="2" applyFont="1" applyFill="1"/>
    <xf numFmtId="164" fontId="0" fillId="3" borderId="2" xfId="1" applyNumberFormat="1" applyFont="1" applyFill="1" applyBorder="1"/>
    <xf numFmtId="164" fontId="0" fillId="0" borderId="0" xfId="1" applyNumberFormat="1" applyFont="1"/>
    <xf numFmtId="164" fontId="2" fillId="5" borderId="0" xfId="1" applyNumberFormat="1" applyFont="1" applyFill="1"/>
    <xf numFmtId="0" fontId="2" fillId="6" borderId="0" xfId="0" applyFont="1" applyFill="1"/>
    <xf numFmtId="0" fontId="2" fillId="6" borderId="0" xfId="0" applyFont="1" applyFill="1" applyAlignment="1">
      <alignment horizontal="center"/>
    </xf>
    <xf numFmtId="0" fontId="3" fillId="7" borderId="2" xfId="0" applyFont="1" applyFill="1" applyBorder="1" applyAlignment="1">
      <alignment horizontal="left"/>
    </xf>
    <xf numFmtId="165" fontId="3" fillId="7" borderId="2" xfId="0" applyNumberFormat="1" applyFont="1" applyFill="1" applyBorder="1" applyAlignment="1">
      <alignment horizontal="center"/>
    </xf>
    <xf numFmtId="0" fontId="0" fillId="0" borderId="0" xfId="0" applyFont="1"/>
    <xf numFmtId="0" fontId="0" fillId="0" borderId="0" xfId="0" applyFont="1" applyAlignment="1">
      <alignment horizontal="left" indent="1"/>
    </xf>
    <xf numFmtId="165" fontId="0" fillId="0" borderId="0" xfId="0" applyNumberFormat="1" applyFont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CC6D8-B70E-4A88-994E-DDB1824A6075}">
  <sheetPr>
    <pageSetUpPr fitToPage="1"/>
  </sheetPr>
  <dimension ref="A2:J35"/>
  <sheetViews>
    <sheetView showGridLines="0" tabSelected="1" zoomScale="85" zoomScaleNormal="85" workbookViewId="0">
      <selection activeCell="M22" sqref="M22"/>
    </sheetView>
  </sheetViews>
  <sheetFormatPr defaultRowHeight="14.4" x14ac:dyDescent="0.3"/>
  <cols>
    <col min="1" max="1" width="43.5546875" bestFit="1" customWidth="1"/>
    <col min="2" max="6" width="15" customWidth="1"/>
    <col min="7" max="7" width="2.33203125" customWidth="1"/>
    <col min="8" max="8" width="15" customWidth="1"/>
    <col min="9" max="9" width="14.5546875" customWidth="1"/>
    <col min="10" max="10" width="14.21875" customWidth="1"/>
  </cols>
  <sheetData>
    <row r="2" spans="1:10" ht="99.6" customHeight="1" x14ac:dyDescent="0.3">
      <c r="A2" s="1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2"/>
      <c r="H2" s="3" t="s">
        <v>3</v>
      </c>
      <c r="I2" s="3" t="s">
        <v>4</v>
      </c>
      <c r="J2" s="3" t="s">
        <v>5</v>
      </c>
    </row>
    <row r="3" spans="1:10" x14ac:dyDescent="0.3">
      <c r="A3" s="4" t="s">
        <v>6</v>
      </c>
      <c r="B3" s="11">
        <f>SUM(B4:B5)</f>
        <v>3664</v>
      </c>
      <c r="C3" s="11">
        <f t="shared" ref="C3:F3" si="0">SUM(C4:C5)</f>
        <v>1886.96</v>
      </c>
      <c r="D3" s="11">
        <f t="shared" si="0"/>
        <v>0</v>
      </c>
      <c r="E3" s="11">
        <f t="shared" si="0"/>
        <v>0</v>
      </c>
      <c r="F3" s="11">
        <f t="shared" si="0"/>
        <v>1886.96</v>
      </c>
      <c r="H3" s="5">
        <f>SUM(H4:H5)</f>
        <v>0</v>
      </c>
      <c r="I3" s="5">
        <f t="shared" ref="I3:J3" si="1">SUM(I4:I5)</f>
        <v>0</v>
      </c>
      <c r="J3" s="5">
        <f t="shared" si="1"/>
        <v>2</v>
      </c>
    </row>
    <row r="4" spans="1:10" x14ac:dyDescent="0.3">
      <c r="A4" s="6" t="s">
        <v>7</v>
      </c>
      <c r="B4" s="12">
        <v>1832</v>
      </c>
      <c r="C4" s="12">
        <v>806.08</v>
      </c>
      <c r="D4" s="12">
        <v>0</v>
      </c>
      <c r="E4" s="12">
        <v>0</v>
      </c>
      <c r="F4" s="12">
        <v>806.08</v>
      </c>
      <c r="H4" s="7">
        <f t="shared" ref="H4:H5" si="2">+D4/C4</f>
        <v>0</v>
      </c>
      <c r="I4" s="7">
        <f t="shared" ref="I4:I5" si="3">+E4/C4</f>
        <v>0</v>
      </c>
      <c r="J4" s="7">
        <f t="shared" ref="J4:J5" si="4">+F4/C4</f>
        <v>1</v>
      </c>
    </row>
    <row r="5" spans="1:10" x14ac:dyDescent="0.3">
      <c r="A5" s="8" t="s">
        <v>8</v>
      </c>
      <c r="B5" s="12">
        <v>1832</v>
      </c>
      <c r="C5" s="12">
        <v>1080.8800000000001</v>
      </c>
      <c r="D5" s="12">
        <v>0</v>
      </c>
      <c r="E5" s="12">
        <v>0</v>
      </c>
      <c r="F5" s="12">
        <v>1080.8800000000001</v>
      </c>
      <c r="H5" s="7">
        <f t="shared" si="2"/>
        <v>0</v>
      </c>
      <c r="I5" s="7">
        <f t="shared" si="3"/>
        <v>0</v>
      </c>
      <c r="J5" s="7">
        <f t="shared" si="4"/>
        <v>1</v>
      </c>
    </row>
    <row r="6" spans="1:10" x14ac:dyDescent="0.3">
      <c r="A6" s="4" t="s">
        <v>9</v>
      </c>
      <c r="B6" s="11">
        <f>SUM(B7:B17)</f>
        <v>38105.599999999999</v>
      </c>
      <c r="C6" s="11">
        <f t="shared" ref="C6:F6" si="5">SUM(C7:C17)</f>
        <v>30766.608</v>
      </c>
      <c r="D6" s="11">
        <f t="shared" si="5"/>
        <v>9048.4311999999991</v>
      </c>
      <c r="E6" s="11">
        <f t="shared" si="5"/>
        <v>12356.290400000002</v>
      </c>
      <c r="F6" s="11">
        <f t="shared" si="5"/>
        <v>9361.8863999999994</v>
      </c>
      <c r="H6" s="5">
        <f t="shared" ref="H6:H34" si="6">+D6/C6</f>
        <v>0.29409908300583537</v>
      </c>
      <c r="I6" s="5">
        <f t="shared" ref="I6:I35" si="7">+E6/C6</f>
        <v>0.40161367154936289</v>
      </c>
      <c r="J6" s="5">
        <f t="shared" ref="J6:J35" si="8">+F6/C6</f>
        <v>0.30428724544480168</v>
      </c>
    </row>
    <row r="7" spans="1:10" x14ac:dyDescent="0.3">
      <c r="A7" s="6" t="s">
        <v>10</v>
      </c>
      <c r="B7" s="12">
        <v>6961.6</v>
      </c>
      <c r="C7" s="12">
        <v>5904.5360000000019</v>
      </c>
      <c r="D7" s="12">
        <v>290.37200000000001</v>
      </c>
      <c r="E7" s="12">
        <v>1066.2239999999999</v>
      </c>
      <c r="F7" s="12">
        <v>4547.9400000000005</v>
      </c>
      <c r="H7" s="7">
        <f t="shared" si="6"/>
        <v>4.9177784672665203E-2</v>
      </c>
      <c r="I7" s="7">
        <f t="shared" si="7"/>
        <v>0.1805771020788085</v>
      </c>
      <c r="J7" s="7">
        <f t="shared" si="8"/>
        <v>0.77024511324852607</v>
      </c>
    </row>
    <row r="8" spans="1:10" x14ac:dyDescent="0.3">
      <c r="A8" s="8" t="s">
        <v>11</v>
      </c>
      <c r="B8" s="12">
        <v>1832</v>
      </c>
      <c r="C8" s="12">
        <v>1190.8</v>
      </c>
      <c r="D8" s="12">
        <v>0</v>
      </c>
      <c r="E8" s="12">
        <v>119.08</v>
      </c>
      <c r="F8" s="12">
        <v>1071.72</v>
      </c>
      <c r="H8" s="7">
        <f t="shared" si="6"/>
        <v>0</v>
      </c>
      <c r="I8" s="7">
        <f t="shared" si="7"/>
        <v>0.1</v>
      </c>
      <c r="J8" s="7">
        <f t="shared" si="8"/>
        <v>0.9</v>
      </c>
    </row>
    <row r="9" spans="1:10" x14ac:dyDescent="0.3">
      <c r="A9" s="8" t="s">
        <v>12</v>
      </c>
      <c r="B9" s="12">
        <v>1832</v>
      </c>
      <c r="C9" s="12">
        <v>1740.3999999999999</v>
      </c>
      <c r="D9" s="12">
        <v>137.4</v>
      </c>
      <c r="E9" s="12">
        <v>668.68000000000006</v>
      </c>
      <c r="F9" s="12">
        <v>934.32</v>
      </c>
      <c r="H9" s="7">
        <f t="shared" si="6"/>
        <v>7.8947368421052641E-2</v>
      </c>
      <c r="I9" s="7">
        <f t="shared" si="7"/>
        <v>0.38421052631578956</v>
      </c>
      <c r="J9" s="7">
        <f t="shared" si="8"/>
        <v>0.53684210526315801</v>
      </c>
    </row>
    <row r="10" spans="1:10" x14ac:dyDescent="0.3">
      <c r="A10" s="8" t="s">
        <v>13</v>
      </c>
      <c r="B10" s="12">
        <v>2564.8000000000002</v>
      </c>
      <c r="C10" s="12">
        <v>1476.5920000000001</v>
      </c>
      <c r="D10" s="12">
        <v>98.195200000000014</v>
      </c>
      <c r="E10" s="12">
        <v>581.11040000000014</v>
      </c>
      <c r="F10" s="12">
        <v>797.28639999999996</v>
      </c>
      <c r="H10" s="7">
        <f t="shared" si="6"/>
        <v>6.6501240694789091E-2</v>
      </c>
      <c r="I10" s="7">
        <f t="shared" si="7"/>
        <v>0.39354838709677425</v>
      </c>
      <c r="J10" s="7">
        <f t="shared" si="8"/>
        <v>0.53995037220843667</v>
      </c>
    </row>
    <row r="11" spans="1:10" x14ac:dyDescent="0.3">
      <c r="A11" s="8" t="s">
        <v>14</v>
      </c>
      <c r="B11" s="12">
        <v>3297.6000000000004</v>
      </c>
      <c r="C11" s="12">
        <v>2674.72</v>
      </c>
      <c r="D11" s="12">
        <v>534.94400000000007</v>
      </c>
      <c r="E11" s="12">
        <v>1350.1840000000002</v>
      </c>
      <c r="F11" s="12">
        <v>789.59199999999998</v>
      </c>
      <c r="H11" s="7">
        <f t="shared" si="6"/>
        <v>0.20000000000000004</v>
      </c>
      <c r="I11" s="7">
        <f t="shared" si="7"/>
        <v>0.50479452054794527</v>
      </c>
      <c r="J11" s="7">
        <f t="shared" si="8"/>
        <v>0.29520547945205483</v>
      </c>
    </row>
    <row r="12" spans="1:10" x14ac:dyDescent="0.3">
      <c r="A12" s="8" t="s">
        <v>15</v>
      </c>
      <c r="B12" s="12">
        <v>1465.6000000000001</v>
      </c>
      <c r="C12" s="12">
        <v>1025.9199999999998</v>
      </c>
      <c r="D12" s="12">
        <v>351.74400000000003</v>
      </c>
      <c r="E12" s="12">
        <v>538.60799999999995</v>
      </c>
      <c r="F12" s="12">
        <v>135.56800000000001</v>
      </c>
      <c r="H12" s="7">
        <f t="shared" si="6"/>
        <v>0.34285714285714292</v>
      </c>
      <c r="I12" s="7">
        <f t="shared" si="7"/>
        <v>0.52500000000000002</v>
      </c>
      <c r="J12" s="7">
        <f t="shared" si="8"/>
        <v>0.13214285714285717</v>
      </c>
    </row>
    <row r="13" spans="1:10" x14ac:dyDescent="0.3">
      <c r="A13" s="8" t="s">
        <v>16</v>
      </c>
      <c r="B13" s="12">
        <v>3664</v>
      </c>
      <c r="C13" s="12">
        <v>2931.2000000000003</v>
      </c>
      <c r="D13" s="12">
        <v>567.92000000000007</v>
      </c>
      <c r="E13" s="12">
        <v>1657.96</v>
      </c>
      <c r="F13" s="12">
        <v>705.32</v>
      </c>
      <c r="H13" s="7">
        <f t="shared" si="6"/>
        <v>0.19375000000000001</v>
      </c>
      <c r="I13" s="7">
        <f t="shared" si="7"/>
        <v>0.56562499999999993</v>
      </c>
      <c r="J13" s="7">
        <f t="shared" si="8"/>
        <v>0.24062500000000001</v>
      </c>
    </row>
    <row r="14" spans="1:10" x14ac:dyDescent="0.3">
      <c r="A14" s="8" t="s">
        <v>17</v>
      </c>
      <c r="B14" s="12">
        <v>1832</v>
      </c>
      <c r="C14" s="12">
        <v>1575.5199999999998</v>
      </c>
      <c r="D14" s="12">
        <v>131.90399999999997</v>
      </c>
      <c r="E14" s="12">
        <v>1169.7319999999997</v>
      </c>
      <c r="F14" s="12">
        <v>273.88399999999996</v>
      </c>
      <c r="H14" s="7">
        <f t="shared" si="6"/>
        <v>8.3720930232558138E-2</v>
      </c>
      <c r="I14" s="7">
        <f t="shared" si="7"/>
        <v>0.74244186046511618</v>
      </c>
      <c r="J14" s="7">
        <f t="shared" si="8"/>
        <v>0.17383720930232557</v>
      </c>
    </row>
    <row r="15" spans="1:10" x14ac:dyDescent="0.3">
      <c r="A15" s="8" t="s">
        <v>18</v>
      </c>
      <c r="B15" s="12">
        <v>5496</v>
      </c>
      <c r="C15" s="12">
        <v>4405.96</v>
      </c>
      <c r="D15" s="12">
        <v>1943.7520000000002</v>
      </c>
      <c r="E15" s="12">
        <v>2392.5920000000006</v>
      </c>
      <c r="F15" s="12">
        <v>69.616000000000014</v>
      </c>
      <c r="H15" s="7">
        <f t="shared" si="6"/>
        <v>0.44116424116424119</v>
      </c>
      <c r="I15" s="7">
        <f t="shared" si="7"/>
        <v>0.54303534303534318</v>
      </c>
      <c r="J15" s="7">
        <f t="shared" si="8"/>
        <v>1.5800415800415805E-2</v>
      </c>
    </row>
    <row r="16" spans="1:10" x14ac:dyDescent="0.3">
      <c r="A16" s="8" t="s">
        <v>19</v>
      </c>
      <c r="B16" s="12">
        <v>1832</v>
      </c>
      <c r="C16" s="12">
        <v>1831.9999999999998</v>
      </c>
      <c r="D16" s="12">
        <v>348.08</v>
      </c>
      <c r="E16" s="12">
        <v>1483.9199999999998</v>
      </c>
      <c r="F16" s="12">
        <v>0</v>
      </c>
      <c r="H16" s="7">
        <f t="shared" si="6"/>
        <v>0.19</v>
      </c>
      <c r="I16" s="7">
        <f t="shared" si="7"/>
        <v>0.81</v>
      </c>
      <c r="J16" s="7">
        <f t="shared" si="8"/>
        <v>0</v>
      </c>
    </row>
    <row r="17" spans="1:10" x14ac:dyDescent="0.3">
      <c r="A17" s="8" t="s">
        <v>20</v>
      </c>
      <c r="B17" s="12">
        <v>7328</v>
      </c>
      <c r="C17" s="12">
        <v>6008.9600000000009</v>
      </c>
      <c r="D17" s="12">
        <v>4644.12</v>
      </c>
      <c r="E17" s="12">
        <v>1328.2</v>
      </c>
      <c r="F17" s="12">
        <v>36.640000000000008</v>
      </c>
      <c r="H17" s="7">
        <f t="shared" si="6"/>
        <v>0.77286585365853644</v>
      </c>
      <c r="I17" s="7">
        <f t="shared" si="7"/>
        <v>0.22103658536585363</v>
      </c>
      <c r="J17" s="7">
        <f t="shared" si="8"/>
        <v>6.0975609756097563E-3</v>
      </c>
    </row>
    <row r="18" spans="1:10" x14ac:dyDescent="0.3">
      <c r="A18" s="4" t="s">
        <v>21</v>
      </c>
      <c r="B18" s="11">
        <f>SUM(B19:B27)</f>
        <v>20152</v>
      </c>
      <c r="C18" s="11">
        <f t="shared" ref="C18:F18" si="9">SUM(C19:C27)</f>
        <v>15632.456000000002</v>
      </c>
      <c r="D18" s="11">
        <f t="shared" si="9"/>
        <v>3454.4192000000003</v>
      </c>
      <c r="E18" s="11">
        <f t="shared" si="9"/>
        <v>9859.640800000001</v>
      </c>
      <c r="F18" s="11">
        <f t="shared" si="9"/>
        <v>2318.3959999999997</v>
      </c>
      <c r="H18" s="5">
        <f t="shared" si="6"/>
        <v>0.22097738192898159</v>
      </c>
      <c r="I18" s="5">
        <f t="shared" si="7"/>
        <v>0.63071604359545297</v>
      </c>
      <c r="J18" s="5">
        <f t="shared" si="8"/>
        <v>0.14830657447556542</v>
      </c>
    </row>
    <row r="19" spans="1:10" x14ac:dyDescent="0.3">
      <c r="A19" s="6" t="s">
        <v>22</v>
      </c>
      <c r="B19" s="12">
        <v>1832</v>
      </c>
      <c r="C19" s="12">
        <v>1126.68</v>
      </c>
      <c r="D19" s="12">
        <v>0</v>
      </c>
      <c r="E19" s="12">
        <v>0</v>
      </c>
      <c r="F19" s="12">
        <v>1126.68</v>
      </c>
      <c r="H19" s="7">
        <f t="shared" si="6"/>
        <v>0</v>
      </c>
      <c r="I19" s="7">
        <f t="shared" si="7"/>
        <v>0</v>
      </c>
      <c r="J19" s="7">
        <f t="shared" si="8"/>
        <v>1</v>
      </c>
    </row>
    <row r="20" spans="1:10" x14ac:dyDescent="0.3">
      <c r="A20" s="8" t="s">
        <v>23</v>
      </c>
      <c r="B20" s="12">
        <v>1832</v>
      </c>
      <c r="C20" s="12">
        <v>1428.96</v>
      </c>
      <c r="D20" s="12">
        <v>285.79200000000003</v>
      </c>
      <c r="E20" s="12">
        <v>1000.272</v>
      </c>
      <c r="F20" s="12">
        <v>142.89600000000002</v>
      </c>
      <c r="H20" s="7">
        <f t="shared" si="6"/>
        <v>0.2</v>
      </c>
      <c r="I20" s="7">
        <f t="shared" si="7"/>
        <v>0.70000000000000007</v>
      </c>
      <c r="J20" s="7">
        <f t="shared" si="8"/>
        <v>0.1</v>
      </c>
    </row>
    <row r="21" spans="1:10" x14ac:dyDescent="0.3">
      <c r="A21" s="8" t="s">
        <v>24</v>
      </c>
      <c r="B21" s="12">
        <v>3664</v>
      </c>
      <c r="C21" s="12">
        <v>3031.96</v>
      </c>
      <c r="D21" s="12">
        <v>606.39200000000005</v>
      </c>
      <c r="E21" s="12">
        <v>2122.3719999999998</v>
      </c>
      <c r="F21" s="12">
        <v>303.19600000000003</v>
      </c>
      <c r="H21" s="7">
        <f t="shared" si="6"/>
        <v>0.2</v>
      </c>
      <c r="I21" s="7">
        <f t="shared" si="7"/>
        <v>0.7</v>
      </c>
      <c r="J21" s="7">
        <f t="shared" si="8"/>
        <v>0.1</v>
      </c>
    </row>
    <row r="22" spans="1:10" x14ac:dyDescent="0.3">
      <c r="A22" s="6" t="s">
        <v>25</v>
      </c>
      <c r="B22" s="12">
        <v>1832</v>
      </c>
      <c r="C22" s="12">
        <v>1319.0399999999997</v>
      </c>
      <c r="D22" s="12">
        <v>65.951999999999998</v>
      </c>
      <c r="E22" s="12">
        <v>947.14400000000012</v>
      </c>
      <c r="F22" s="12">
        <v>305.94399999999996</v>
      </c>
      <c r="H22" s="7">
        <f t="shared" si="6"/>
        <v>5.000000000000001E-2</v>
      </c>
      <c r="I22" s="7">
        <f t="shared" si="7"/>
        <v>0.71805555555555578</v>
      </c>
      <c r="J22" s="7">
        <f t="shared" si="8"/>
        <v>0.23194444444444445</v>
      </c>
    </row>
    <row r="23" spans="1:10" x14ac:dyDescent="0.3">
      <c r="A23" s="8" t="s">
        <v>26</v>
      </c>
      <c r="B23" s="12">
        <v>1832</v>
      </c>
      <c r="C23" s="12">
        <v>1502.2400000000002</v>
      </c>
      <c r="D23" s="12">
        <v>9.16</v>
      </c>
      <c r="E23" s="12">
        <v>1493.0800000000002</v>
      </c>
      <c r="F23" s="12">
        <v>0</v>
      </c>
      <c r="H23" s="7">
        <f t="shared" si="6"/>
        <v>6.0975609756097554E-3</v>
      </c>
      <c r="I23" s="7">
        <f t="shared" si="7"/>
        <v>0.99390243902439024</v>
      </c>
      <c r="J23" s="7">
        <f t="shared" si="8"/>
        <v>0</v>
      </c>
    </row>
    <row r="24" spans="1:10" x14ac:dyDescent="0.3">
      <c r="A24" s="8" t="s">
        <v>27</v>
      </c>
      <c r="B24" s="12">
        <v>1832</v>
      </c>
      <c r="C24" s="12">
        <v>1538.88</v>
      </c>
      <c r="D24" s="12">
        <v>115.41600000000001</v>
      </c>
      <c r="E24" s="12">
        <v>1423.4640000000002</v>
      </c>
      <c r="F24" s="12">
        <v>0</v>
      </c>
      <c r="H24" s="7">
        <f t="shared" si="6"/>
        <v>7.4999999999999997E-2</v>
      </c>
      <c r="I24" s="7">
        <f t="shared" si="7"/>
        <v>0.92500000000000004</v>
      </c>
      <c r="J24" s="7">
        <f t="shared" si="8"/>
        <v>0</v>
      </c>
    </row>
    <row r="25" spans="1:10" x14ac:dyDescent="0.3">
      <c r="A25" s="8" t="s">
        <v>28</v>
      </c>
      <c r="B25" s="12">
        <v>3664</v>
      </c>
      <c r="C25" s="12">
        <v>2931.1999999999989</v>
      </c>
      <c r="D25" s="12">
        <v>439.68</v>
      </c>
      <c r="E25" s="12">
        <v>2051.84</v>
      </c>
      <c r="F25" s="12">
        <v>439.68</v>
      </c>
      <c r="H25" s="7">
        <f t="shared" si="6"/>
        <v>0.15000000000000005</v>
      </c>
      <c r="I25" s="7">
        <f t="shared" si="7"/>
        <v>0.70000000000000029</v>
      </c>
      <c r="J25" s="7">
        <f t="shared" si="8"/>
        <v>0.15000000000000005</v>
      </c>
    </row>
    <row r="26" spans="1:10" x14ac:dyDescent="0.3">
      <c r="A26" s="8" t="s">
        <v>29</v>
      </c>
      <c r="B26" s="12">
        <v>1832</v>
      </c>
      <c r="C26" s="12">
        <v>1397.816</v>
      </c>
      <c r="D26" s="12">
        <v>915.2672</v>
      </c>
      <c r="E26" s="12">
        <v>482.54880000000003</v>
      </c>
      <c r="F26" s="12">
        <v>0</v>
      </c>
      <c r="H26" s="7">
        <f t="shared" si="6"/>
        <v>0.65478374836173003</v>
      </c>
      <c r="I26" s="7">
        <f t="shared" si="7"/>
        <v>0.34521625163827002</v>
      </c>
      <c r="J26" s="7">
        <f t="shared" si="8"/>
        <v>0</v>
      </c>
    </row>
    <row r="27" spans="1:10" x14ac:dyDescent="0.3">
      <c r="A27" s="8" t="s">
        <v>30</v>
      </c>
      <c r="B27" s="12">
        <v>1832</v>
      </c>
      <c r="C27" s="12">
        <v>1355.6799999999998</v>
      </c>
      <c r="D27" s="12">
        <v>1016.76</v>
      </c>
      <c r="E27" s="12">
        <v>338.92000000000007</v>
      </c>
      <c r="F27" s="12">
        <v>0</v>
      </c>
      <c r="H27" s="7">
        <f t="shared" si="6"/>
        <v>0.75000000000000011</v>
      </c>
      <c r="I27" s="7">
        <f t="shared" si="7"/>
        <v>0.25000000000000011</v>
      </c>
      <c r="J27" s="7">
        <f t="shared" si="8"/>
        <v>0</v>
      </c>
    </row>
    <row r="28" spans="1:10" x14ac:dyDescent="0.3">
      <c r="A28" s="4" t="s">
        <v>31</v>
      </c>
      <c r="B28" s="11">
        <f>SUM(B29:B34)</f>
        <v>14289.6</v>
      </c>
      <c r="C28" s="11">
        <f t="shared" ref="C28:F28" si="10">SUM(C29:C34)</f>
        <v>10836.28</v>
      </c>
      <c r="D28" s="11">
        <f t="shared" si="10"/>
        <v>2351.7384000000002</v>
      </c>
      <c r="E28" s="11">
        <f t="shared" si="10"/>
        <v>2697.4368000000004</v>
      </c>
      <c r="F28" s="11">
        <f t="shared" si="10"/>
        <v>5787.104800000001</v>
      </c>
      <c r="H28" s="5">
        <f t="shared" si="6"/>
        <v>0.21702451394759087</v>
      </c>
      <c r="I28" s="5">
        <f t="shared" si="7"/>
        <v>0.24892645815722741</v>
      </c>
      <c r="J28" s="5">
        <f t="shared" si="8"/>
        <v>0.53404902789518183</v>
      </c>
    </row>
    <row r="29" spans="1:10" x14ac:dyDescent="0.3">
      <c r="A29" s="6" t="s">
        <v>32</v>
      </c>
      <c r="B29" s="12">
        <v>1832</v>
      </c>
      <c r="C29" s="12">
        <v>998.44</v>
      </c>
      <c r="D29" s="12">
        <v>27.480000000000004</v>
      </c>
      <c r="E29" s="12">
        <v>289.45600000000007</v>
      </c>
      <c r="F29" s="12">
        <v>681.50400000000002</v>
      </c>
      <c r="H29" s="7">
        <f t="shared" si="6"/>
        <v>2.7522935779816515E-2</v>
      </c>
      <c r="I29" s="7">
        <f t="shared" si="7"/>
        <v>0.28990825688073402</v>
      </c>
      <c r="J29" s="7">
        <f t="shared" si="8"/>
        <v>0.68256880733944947</v>
      </c>
    </row>
    <row r="30" spans="1:10" x14ac:dyDescent="0.3">
      <c r="A30" s="8" t="s">
        <v>33</v>
      </c>
      <c r="B30" s="12">
        <v>1465.6000000000001</v>
      </c>
      <c r="C30" s="12">
        <v>989.2800000000002</v>
      </c>
      <c r="D30" s="12">
        <v>189.06240000000003</v>
      </c>
      <c r="E30" s="12">
        <v>268.20480000000009</v>
      </c>
      <c r="F30" s="12">
        <v>532.0128000000002</v>
      </c>
      <c r="H30" s="7">
        <f t="shared" si="6"/>
        <v>0.19111111111111109</v>
      </c>
      <c r="I30" s="7">
        <f t="shared" si="7"/>
        <v>0.27111111111111114</v>
      </c>
      <c r="J30" s="7">
        <f t="shared" si="8"/>
        <v>0.53777777777777791</v>
      </c>
    </row>
    <row r="31" spans="1:10" x14ac:dyDescent="0.3">
      <c r="A31" s="8" t="s">
        <v>34</v>
      </c>
      <c r="B31" s="12">
        <v>3664</v>
      </c>
      <c r="C31" s="12">
        <v>3151.04</v>
      </c>
      <c r="D31" s="12">
        <v>670.51200000000017</v>
      </c>
      <c r="E31" s="12">
        <v>807.91200000000003</v>
      </c>
      <c r="F31" s="12">
        <v>1672.6160000000004</v>
      </c>
      <c r="H31" s="7">
        <f t="shared" si="6"/>
        <v>0.21279069767441866</v>
      </c>
      <c r="I31" s="7">
        <f t="shared" si="7"/>
        <v>0.25639534883720932</v>
      </c>
      <c r="J31" s="7">
        <f t="shared" si="8"/>
        <v>0.53081395348837224</v>
      </c>
    </row>
    <row r="32" spans="1:10" x14ac:dyDescent="0.3">
      <c r="A32" s="8" t="s">
        <v>35</v>
      </c>
      <c r="B32" s="12">
        <v>1832</v>
      </c>
      <c r="C32" s="12">
        <v>1337.3600000000001</v>
      </c>
      <c r="D32" s="12">
        <v>282.12799999999999</v>
      </c>
      <c r="E32" s="12">
        <v>281.21199999999999</v>
      </c>
      <c r="F32" s="12">
        <v>774.02</v>
      </c>
      <c r="H32" s="7">
        <f t="shared" si="6"/>
        <v>0.21095890410958901</v>
      </c>
      <c r="I32" s="7">
        <f t="shared" si="7"/>
        <v>0.21027397260273969</v>
      </c>
      <c r="J32" s="7">
        <f t="shared" si="8"/>
        <v>0.57876712328767121</v>
      </c>
    </row>
    <row r="33" spans="1:10" x14ac:dyDescent="0.3">
      <c r="A33" s="8" t="s">
        <v>36</v>
      </c>
      <c r="B33" s="12">
        <v>1832</v>
      </c>
      <c r="C33" s="12">
        <v>1557.2</v>
      </c>
      <c r="D33" s="12">
        <v>363.65199999999999</v>
      </c>
      <c r="E33" s="12">
        <v>430.52000000000004</v>
      </c>
      <c r="F33" s="12">
        <v>763.02800000000002</v>
      </c>
      <c r="H33" s="7">
        <f t="shared" si="6"/>
        <v>0.23352941176470587</v>
      </c>
      <c r="I33" s="7">
        <f t="shared" si="7"/>
        <v>0.27647058823529413</v>
      </c>
      <c r="J33" s="7">
        <f t="shared" si="8"/>
        <v>0.49</v>
      </c>
    </row>
    <row r="34" spans="1:10" x14ac:dyDescent="0.3">
      <c r="A34" s="8" t="s">
        <v>37</v>
      </c>
      <c r="B34" s="12">
        <v>3664</v>
      </c>
      <c r="C34" s="12">
        <v>2802.96</v>
      </c>
      <c r="D34" s="12">
        <v>818.904</v>
      </c>
      <c r="E34" s="12">
        <v>620.13200000000006</v>
      </c>
      <c r="F34" s="12">
        <v>1363.9240000000002</v>
      </c>
      <c r="H34" s="7">
        <f t="shared" si="6"/>
        <v>0.29215686274509806</v>
      </c>
      <c r="I34" s="7">
        <f t="shared" si="7"/>
        <v>0.2212418300653595</v>
      </c>
      <c r="J34" s="7">
        <f t="shared" si="8"/>
        <v>0.48660130718954253</v>
      </c>
    </row>
    <row r="35" spans="1:10" x14ac:dyDescent="0.3">
      <c r="A35" s="9" t="s">
        <v>38</v>
      </c>
      <c r="B35" s="13">
        <f>+B3+B6+B18+B28</f>
        <v>76211.199999999997</v>
      </c>
      <c r="C35" s="13">
        <f t="shared" ref="C35:F35" si="11">+C3+C6+C18+C28</f>
        <v>59122.304000000004</v>
      </c>
      <c r="D35" s="13">
        <f t="shared" si="11"/>
        <v>14854.5888</v>
      </c>
      <c r="E35" s="13">
        <f t="shared" si="11"/>
        <v>24913.368000000002</v>
      </c>
      <c r="F35" s="13">
        <f t="shared" si="11"/>
        <v>19354.3472</v>
      </c>
      <c r="H35" s="10">
        <f>+D35/C35</f>
        <v>0.25125185919682697</v>
      </c>
      <c r="I35" s="10">
        <f t="shared" si="7"/>
        <v>0.42138696083292021</v>
      </c>
      <c r="J35" s="10">
        <f t="shared" si="8"/>
        <v>0.32736117997025282</v>
      </c>
    </row>
  </sheetData>
  <pageMargins left="0.70866141732283472" right="0.70866141732283472" top="0.74803149606299213" bottom="0.74803149606299213" header="0.31496062992125984" footer="0.31496062992125984"/>
  <pageSetup paperSize="9" scale="7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56B1F-06B3-43E7-A444-37352B2F8F09}">
  <sheetPr>
    <pageSetUpPr fitToPage="1"/>
  </sheetPr>
  <dimension ref="B2:C33"/>
  <sheetViews>
    <sheetView showGridLines="0" workbookViewId="0">
      <selection activeCell="H27" sqref="H27"/>
    </sheetView>
  </sheetViews>
  <sheetFormatPr defaultRowHeight="14.4" x14ac:dyDescent="0.3"/>
  <cols>
    <col min="1" max="1" width="2.109375" style="18" customWidth="1"/>
    <col min="2" max="2" width="41.6640625" style="18" bestFit="1" customWidth="1"/>
    <col min="3" max="3" width="13.77734375" style="18" bestFit="1" customWidth="1"/>
    <col min="4" max="16384" width="8.88671875" style="18"/>
  </cols>
  <sheetData>
    <row r="2" spans="2:3" x14ac:dyDescent="0.3">
      <c r="B2" s="14" t="s">
        <v>39</v>
      </c>
      <c r="C2" s="15" t="s">
        <v>40</v>
      </c>
    </row>
    <row r="3" spans="2:3" x14ac:dyDescent="0.3">
      <c r="B3" s="16" t="s">
        <v>6</v>
      </c>
      <c r="C3" s="17"/>
    </row>
    <row r="4" spans="2:3" x14ac:dyDescent="0.3">
      <c r="B4" s="19" t="s">
        <v>41</v>
      </c>
      <c r="C4" s="20">
        <v>250000</v>
      </c>
    </row>
    <row r="5" spans="2:3" x14ac:dyDescent="0.3">
      <c r="B5" s="19" t="s">
        <v>8</v>
      </c>
      <c r="C5" s="20">
        <v>200000</v>
      </c>
    </row>
    <row r="6" spans="2:3" x14ac:dyDescent="0.3">
      <c r="B6" s="16" t="s">
        <v>42</v>
      </c>
      <c r="C6" s="17"/>
    </row>
    <row r="7" spans="2:3" x14ac:dyDescent="0.3">
      <c r="B7" s="19" t="s">
        <v>10</v>
      </c>
      <c r="C7" s="20">
        <v>175000</v>
      </c>
    </row>
    <row r="8" spans="2:3" x14ac:dyDescent="0.3">
      <c r="B8" s="19" t="s">
        <v>12</v>
      </c>
      <c r="C8" s="20">
        <v>150000</v>
      </c>
    </row>
    <row r="9" spans="2:3" x14ac:dyDescent="0.3">
      <c r="B9" s="19" t="s">
        <v>11</v>
      </c>
      <c r="C9" s="20">
        <v>150000</v>
      </c>
    </row>
    <row r="10" spans="2:3" x14ac:dyDescent="0.3">
      <c r="B10" s="19" t="s">
        <v>13</v>
      </c>
      <c r="C10" s="20">
        <v>125000</v>
      </c>
    </row>
    <row r="11" spans="2:3" x14ac:dyDescent="0.3">
      <c r="B11" s="19" t="s">
        <v>14</v>
      </c>
      <c r="C11" s="20">
        <v>110000</v>
      </c>
    </row>
    <row r="12" spans="2:3" x14ac:dyDescent="0.3">
      <c r="B12" s="19" t="s">
        <v>16</v>
      </c>
      <c r="C12" s="20">
        <v>100000</v>
      </c>
    </row>
    <row r="13" spans="2:3" x14ac:dyDescent="0.3">
      <c r="B13" s="19" t="s">
        <v>17</v>
      </c>
      <c r="C13" s="20">
        <v>85000</v>
      </c>
    </row>
    <row r="14" spans="2:3" x14ac:dyDescent="0.3">
      <c r="B14" s="19" t="s">
        <v>18</v>
      </c>
      <c r="C14" s="20">
        <v>75000</v>
      </c>
    </row>
    <row r="15" spans="2:3" x14ac:dyDescent="0.3">
      <c r="B15" s="19" t="s">
        <v>43</v>
      </c>
      <c r="C15" s="20">
        <v>70000</v>
      </c>
    </row>
    <row r="16" spans="2:3" x14ac:dyDescent="0.3">
      <c r="B16" s="19" t="s">
        <v>20</v>
      </c>
      <c r="C16" s="20">
        <v>60000</v>
      </c>
    </row>
    <row r="17" spans="2:3" x14ac:dyDescent="0.3">
      <c r="B17" s="16" t="s">
        <v>21</v>
      </c>
      <c r="C17" s="17"/>
    </row>
    <row r="18" spans="2:3" x14ac:dyDescent="0.3">
      <c r="B18" s="19" t="s">
        <v>22</v>
      </c>
      <c r="C18" s="20">
        <v>225000</v>
      </c>
    </row>
    <row r="19" spans="2:3" x14ac:dyDescent="0.3">
      <c r="B19" s="19" t="s">
        <v>25</v>
      </c>
      <c r="C19" s="20">
        <v>150000</v>
      </c>
    </row>
    <row r="20" spans="2:3" x14ac:dyDescent="0.3">
      <c r="B20" s="19" t="s">
        <v>23</v>
      </c>
      <c r="C20" s="20">
        <v>125000</v>
      </c>
    </row>
    <row r="21" spans="2:3" x14ac:dyDescent="0.3">
      <c r="B21" s="19" t="s">
        <v>24</v>
      </c>
      <c r="C21" s="20">
        <v>105000</v>
      </c>
    </row>
    <row r="22" spans="2:3" x14ac:dyDescent="0.3">
      <c r="B22" s="19" t="s">
        <v>28</v>
      </c>
      <c r="C22" s="20">
        <v>95000</v>
      </c>
    </row>
    <row r="23" spans="2:3" x14ac:dyDescent="0.3">
      <c r="B23" s="19" t="s">
        <v>27</v>
      </c>
      <c r="C23" s="20">
        <v>80000</v>
      </c>
    </row>
    <row r="24" spans="2:3" x14ac:dyDescent="0.3">
      <c r="B24" s="19" t="s">
        <v>26</v>
      </c>
      <c r="C24" s="20">
        <v>80000</v>
      </c>
    </row>
    <row r="25" spans="2:3" x14ac:dyDescent="0.3">
      <c r="B25" s="19" t="s">
        <v>29</v>
      </c>
      <c r="C25" s="20">
        <v>70000</v>
      </c>
    </row>
    <row r="26" spans="2:3" x14ac:dyDescent="0.3">
      <c r="B26" s="19" t="s">
        <v>30</v>
      </c>
      <c r="C26" s="20">
        <v>60000</v>
      </c>
    </row>
    <row r="27" spans="2:3" x14ac:dyDescent="0.3">
      <c r="B27" s="16" t="s">
        <v>31</v>
      </c>
      <c r="C27" s="17"/>
    </row>
    <row r="28" spans="2:3" x14ac:dyDescent="0.3">
      <c r="B28" s="19" t="s">
        <v>32</v>
      </c>
      <c r="C28" s="20">
        <v>250000</v>
      </c>
    </row>
    <row r="29" spans="2:3" x14ac:dyDescent="0.3">
      <c r="B29" s="19" t="s">
        <v>33</v>
      </c>
      <c r="C29" s="20">
        <v>125000</v>
      </c>
    </row>
    <row r="30" spans="2:3" x14ac:dyDescent="0.3">
      <c r="B30" s="19" t="s">
        <v>34</v>
      </c>
      <c r="C30" s="20">
        <v>110000</v>
      </c>
    </row>
    <row r="31" spans="2:3" x14ac:dyDescent="0.3">
      <c r="B31" s="19" t="s">
        <v>35</v>
      </c>
      <c r="C31" s="20">
        <v>80000</v>
      </c>
    </row>
    <row r="32" spans="2:3" x14ac:dyDescent="0.3">
      <c r="B32" s="19" t="s">
        <v>36</v>
      </c>
      <c r="C32" s="20">
        <v>70000</v>
      </c>
    </row>
    <row r="33" spans="2:3" x14ac:dyDescent="0.3">
      <c r="B33" s="19" t="s">
        <v>37</v>
      </c>
      <c r="C33" s="20">
        <v>60000</v>
      </c>
    </row>
  </sheetData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docMetadata/LabelInfo.xml><?xml version="1.0" encoding="utf-8"?>
<clbl:labelList xmlns:clbl="http://schemas.microsoft.com/office/2020/mipLabelMetadata">
  <clbl:label id="{d026e4c1-5892-497a-b9da-ee493c9f0364}" enabled="0" method="" siteId="{d026e4c1-5892-497a-b9da-ee493c9f036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1. Summary by Type of Task</vt:lpstr>
      <vt:lpstr>2. Average Salary by Role</vt:lpstr>
      <vt:lpstr>'1. Summary by Type of Task'!Print_Area</vt:lpstr>
      <vt:lpstr>'2. Average Salary by Role'!Print_Area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Luz Valanzasca (Omnicom)</dc:creator>
  <cp:lastModifiedBy>Luz Valanzasca (Omnicom)</cp:lastModifiedBy>
  <cp:lastPrinted>2026-01-13T22:36:43Z</cp:lastPrinted>
  <dcterms:created xsi:type="dcterms:W3CDTF">2026-01-12T20:22:09Z</dcterms:created>
  <dcterms:modified xsi:type="dcterms:W3CDTF">2026-01-13T22:37:12Z</dcterms:modified>
</cp:coreProperties>
</file>