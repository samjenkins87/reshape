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&amp; Formulas" sheetId="1" state="visible" r:id="rId1"/>
    <sheet xmlns:r="http://schemas.openxmlformats.org/officeDocument/2006/relationships" name="P&amp;L Model" sheetId="2" state="visible" r:id="rId2"/>
    <sheet xmlns:r="http://schemas.openxmlformats.org/officeDocument/2006/relationships" name="Complete Roster (46 FTE)" sheetId="3" state="visible" r:id="rId3"/>
    <sheet xmlns:r="http://schemas.openxmlformats.org/officeDocument/2006/relationships" name="AOTF Salary Bands" sheetId="4" state="visible" r:id="rId4"/>
    <sheet xmlns:r="http://schemas.openxmlformats.org/officeDocument/2006/relationships" name="Automation Scoring" sheetId="5" state="visible" r:id="rId5"/>
    <sheet xmlns:r="http://schemas.openxmlformats.org/officeDocument/2006/relationships" name="Platform vs Act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  <color rgb="00FF0000"/>
    </font>
    <font>
      <b val="1"/>
      <sz val="11"/>
    </font>
    <font>
      <i val="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6B6B"/>
      </patternFill>
    </fill>
    <fill>
      <patternFill patternType="solid">
        <fgColor rgb="00FFB366"/>
      </patternFill>
    </fill>
    <fill>
      <patternFill patternType="solid">
        <fgColor rgb="00FFEB99"/>
      </patternFill>
    </fill>
    <fill>
      <patternFill patternType="solid">
        <fgColor rgb="0090EE90"/>
      </patternFill>
    </fill>
    <fill>
      <patternFill patternType="solid">
        <fgColor rgb="0087CEEB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164" fontId="3" fillId="3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FCB NZ MEDIA - FINANCIAL MODEL ASSUMPTIONS</t>
        </is>
      </c>
    </row>
    <row r="3">
      <c r="A3" s="2" t="inlineStr">
        <is>
          <t>⚠️ These assumptions should be validated against actual FCB financial data</t>
        </is>
      </c>
    </row>
    <row r="5">
      <c r="A5" s="3" t="inlineStr">
        <is>
          <t>ASSUMPTION SET 1: STAFF COST LOADING</t>
        </is>
      </c>
    </row>
    <row r="7">
      <c r="A7" s="4" t="inlineStr">
        <is>
          <t>Component</t>
        </is>
      </c>
      <c r="B7" s="4" t="inlineStr">
        <is>
          <t>Rate</t>
        </is>
      </c>
      <c r="C7" s="4" t="inlineStr">
        <is>
          <t>Rationale</t>
        </is>
      </c>
    </row>
    <row r="8">
      <c r="A8" s="5" t="inlineStr">
        <is>
          <t>ACC Levy (NZ)</t>
        </is>
      </c>
      <c r="B8" s="5" t="inlineStr">
        <is>
          <t>1.5%</t>
        </is>
      </c>
      <c r="C8" s="5" t="inlineStr">
        <is>
          <t>NZ workplace accident insurance - statutory</t>
        </is>
      </c>
    </row>
    <row r="9">
      <c r="A9" s="5" t="inlineStr">
        <is>
          <t>KiwiSaver (Employer)</t>
        </is>
      </c>
      <c r="B9" s="5" t="inlineStr">
        <is>
          <t>3.0%</t>
        </is>
      </c>
      <c r="C9" s="5" t="inlineStr">
        <is>
          <t>Minimum employer contribution - statutory</t>
        </is>
      </c>
    </row>
    <row r="10">
      <c r="A10" s="5" t="inlineStr">
        <is>
          <t>Bonuses / Incentives</t>
        </is>
      </c>
      <c r="B10" s="5" t="inlineStr">
        <is>
          <t>10.0%</t>
        </is>
      </c>
      <c r="C10" s="5" t="inlineStr">
        <is>
          <t>Industry avg for media agencies (can range 5-15%)</t>
        </is>
      </c>
    </row>
    <row r="11">
      <c r="A11" s="5" t="inlineStr">
        <is>
          <t>Leave Loading</t>
        </is>
      </c>
      <c r="B11" s="5" t="inlineStr">
        <is>
          <t>2.0%</t>
        </is>
      </c>
      <c r="C11" s="5" t="inlineStr">
        <is>
          <t>Annual leave, sick leave accruals</t>
        </is>
      </c>
    </row>
    <row r="12">
      <c r="A12" s="5" t="inlineStr">
        <is>
          <t>Recruitment / Turnover</t>
        </is>
      </c>
      <c r="B12" s="5" t="inlineStr">
        <is>
          <t>2.0%</t>
        </is>
      </c>
      <c r="C12" s="5" t="inlineStr">
        <is>
          <t>Amortized recruitment costs (~15% turnover)</t>
        </is>
      </c>
    </row>
    <row r="13">
      <c r="A13" s="5" t="inlineStr">
        <is>
          <t>Training &amp; Development</t>
        </is>
      </c>
      <c r="B13" s="5" t="inlineStr">
        <is>
          <t>1.5%</t>
        </is>
      </c>
      <c r="C13" s="5" t="inlineStr">
        <is>
          <t>L&amp;D investment per employee</t>
        </is>
      </c>
    </row>
    <row r="14">
      <c r="A14" s="5" t="inlineStr">
        <is>
          <t>Other Staff Benefits</t>
        </is>
      </c>
      <c r="B14" s="5" t="inlineStr">
        <is>
          <t>1.0%</t>
        </is>
      </c>
      <c r="C14" s="5" t="inlineStr">
        <is>
          <t>Health, wellbeing, minor perks</t>
        </is>
      </c>
    </row>
    <row r="15">
      <c r="A15" s="4" t="inlineStr">
        <is>
          <t>TOTAL STAFF LOADING</t>
        </is>
      </c>
      <c r="B15" s="4" t="inlineStr">
        <is>
          <t>21.0%</t>
        </is>
      </c>
      <c r="C15" s="4" t="inlineStr">
        <is>
          <t>Applied to base salary cost</t>
        </is>
      </c>
    </row>
    <row r="17">
      <c r="A17" s="3" t="inlineStr">
        <is>
          <t>ASSUMPTION SET 2: BUSINESS OVERHEAD (% of Revenue)</t>
        </is>
      </c>
    </row>
    <row r="19">
      <c r="A19" s="4" t="inlineStr">
        <is>
          <t>Component</t>
        </is>
      </c>
      <c r="B19" s="4" t="inlineStr">
        <is>
          <t>Rate</t>
        </is>
      </c>
      <c r="C19" s="4" t="inlineStr">
        <is>
          <t>Rationale</t>
        </is>
      </c>
    </row>
    <row r="20">
      <c r="A20" s="5" t="inlineStr">
        <is>
          <t>Rent &amp; Facilities</t>
        </is>
      </c>
      <c r="B20" s="5" t="inlineStr">
        <is>
          <t>4.0%</t>
        </is>
      </c>
      <c r="C20" s="5" t="inlineStr">
        <is>
          <t>Auckland CBD office space, utilities, maintenance</t>
        </is>
      </c>
    </row>
    <row r="21">
      <c r="A21" s="5" t="inlineStr">
        <is>
          <t>Technology &amp; Software</t>
        </is>
      </c>
      <c r="B21" s="5" t="inlineStr">
        <is>
          <t>3.0%</t>
        </is>
      </c>
      <c r="C21" s="5" t="inlineStr">
        <is>
          <t>Media platforms, licenses, IT infrastructure</t>
        </is>
      </c>
    </row>
    <row r="22">
      <c r="A22" s="5" t="inlineStr">
        <is>
          <t>Professional Services</t>
        </is>
      </c>
      <c r="B22" s="5" t="inlineStr">
        <is>
          <t>1.0%</t>
        </is>
      </c>
      <c r="C22" s="5" t="inlineStr">
        <is>
          <t>Legal, accounting, consulting fees</t>
        </is>
      </c>
    </row>
    <row r="23">
      <c r="A23" s="5" t="inlineStr">
        <is>
          <t>Insurance</t>
        </is>
      </c>
      <c r="B23" s="5" t="inlineStr">
        <is>
          <t>0.5%</t>
        </is>
      </c>
      <c r="C23" s="5" t="inlineStr">
        <is>
          <t>PI insurance, business insurance</t>
        </is>
      </c>
    </row>
    <row r="24">
      <c r="A24" s="5" t="inlineStr">
        <is>
          <t>Travel &amp; Entertainment</t>
        </is>
      </c>
      <c r="B24" s="5" t="inlineStr">
        <is>
          <t>1.5%</t>
        </is>
      </c>
      <c r="C24" s="5" t="inlineStr">
        <is>
          <t>Client entertainment, domestic travel</t>
        </is>
      </c>
    </row>
    <row r="25">
      <c r="A25" s="5" t="inlineStr">
        <is>
          <t>Marketing &amp; Biz Dev</t>
        </is>
      </c>
      <c r="B25" s="5" t="inlineStr">
        <is>
          <t>1.0%</t>
        </is>
      </c>
      <c r="C25" s="5" t="inlineStr">
        <is>
          <t>Pitch costs, agency marketing</t>
        </is>
      </c>
    </row>
    <row r="26">
      <c r="A26" s="5" t="inlineStr">
        <is>
          <t>Depreciation &amp; Amort</t>
        </is>
      </c>
      <c r="B26" s="5" t="inlineStr">
        <is>
          <t>1.0%</t>
        </is>
      </c>
      <c r="C26" s="5" t="inlineStr">
        <is>
          <t>Equipment, fit-out amortization</t>
        </is>
      </c>
    </row>
    <row r="27">
      <c r="A27" s="5" t="inlineStr">
        <is>
          <t>Other Operating</t>
        </is>
      </c>
      <c r="B27" s="5" t="inlineStr">
        <is>
          <t>1.0%</t>
        </is>
      </c>
      <c r="C27" s="5" t="inlineStr">
        <is>
          <t>Miscellaneous operating costs</t>
        </is>
      </c>
    </row>
    <row r="28">
      <c r="A28" s="4" t="inlineStr">
        <is>
          <t>TOTAL BUSINESS OVERHEAD</t>
        </is>
      </c>
      <c r="B28" s="4" t="inlineStr">
        <is>
          <t>13.0%</t>
        </is>
      </c>
      <c r="C28" s="4" t="inlineStr">
        <is>
          <t>Applied to revenue</t>
        </is>
      </c>
    </row>
    <row r="31">
      <c r="A31" s="3" t="inlineStr">
        <is>
          <t>FORMULAS</t>
        </is>
      </c>
    </row>
    <row r="33">
      <c r="A33" s="4" t="inlineStr">
        <is>
          <t>Metric</t>
        </is>
      </c>
      <c r="B33" s="4" t="inlineStr">
        <is>
          <t>Formula</t>
        </is>
      </c>
    </row>
    <row r="34">
      <c r="A34" s="6" t="inlineStr">
        <is>
          <t>Total Staff Cost</t>
        </is>
      </c>
      <c r="B34" s="6">
        <f> Base Salaries × 1.21 (i.e., + 21% loading)</f>
        <v/>
      </c>
    </row>
    <row r="35">
      <c r="A35" s="6" t="inlineStr">
        <is>
          <t>Business Overhead</t>
        </is>
      </c>
      <c r="B35" s="6">
        <f> Revenue × 13%</f>
        <v/>
      </c>
    </row>
    <row r="36">
      <c r="A36" s="6" t="inlineStr">
        <is>
          <t>Gross Profit</t>
        </is>
      </c>
      <c r="B36" s="6">
        <f> Revenue - Total Staff Cost</f>
        <v/>
      </c>
    </row>
    <row r="37">
      <c r="A37" s="6" t="inlineStr">
        <is>
          <t>Gross Margin</t>
        </is>
      </c>
      <c r="B37" s="6">
        <f> Gross Profit ÷ Revenue</f>
        <v/>
      </c>
    </row>
    <row r="38">
      <c r="A38" s="6" t="inlineStr">
        <is>
          <t>Operating Profit</t>
        </is>
      </c>
      <c r="B38" s="6">
        <f> Gross Profit - Business Overhead</f>
        <v/>
      </c>
    </row>
    <row r="39">
      <c r="A39" s="6" t="inlineStr">
        <is>
          <t>Operating Margin</t>
        </is>
      </c>
      <c r="B39" s="6">
        <f> Operating Profit ÷ Revenue</f>
        <v/>
      </c>
    </row>
    <row r="40">
      <c r="A40" s="6" t="inlineStr">
        <is>
          <t>Revenue per FTE</t>
        </is>
      </c>
      <c r="B40" s="6">
        <f> Revenue ÷ Total FTE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35" customWidth="1" min="4" max="4"/>
  </cols>
  <sheetData>
    <row r="1">
      <c r="A1" s="1" t="inlineStr">
        <is>
          <t>PROFIT &amp; LOSS MODEL (Using Assumptions)</t>
        </is>
      </c>
    </row>
    <row r="3">
      <c r="A3" s="6" t="inlineStr">
        <is>
          <t>Line Item</t>
        </is>
      </c>
      <c r="B3" s="6" t="inlineStr">
        <is>
          <t>Current (46 FTE)</t>
        </is>
      </c>
      <c r="C3" s="6" t="inlineStr">
        <is>
          <t>40% Reduction (28 FTE)</t>
        </is>
      </c>
      <c r="D3" s="6" t="inlineStr">
        <is>
          <t>Notes</t>
        </is>
      </c>
    </row>
    <row r="4">
      <c r="A4" s="6" t="inlineStr"/>
      <c r="B4" s="6" t="inlineStr"/>
      <c r="C4" s="6" t="inlineStr"/>
      <c r="D4" s="6" t="inlineStr"/>
    </row>
    <row r="5">
      <c r="A5" s="4" t="inlineStr">
        <is>
          <t>REVENUE</t>
        </is>
      </c>
      <c r="B5" s="4" t="inlineStr"/>
      <c r="C5" s="4" t="inlineStr"/>
      <c r="D5" s="4" t="inlineStr"/>
    </row>
    <row r="6">
      <c r="A6" s="6" t="inlineStr">
        <is>
          <t>Media Revenue</t>
        </is>
      </c>
      <c r="B6" s="6" t="inlineStr">
        <is>
          <t>$11,904,526</t>
        </is>
      </c>
      <c r="C6" s="6" t="inlineStr">
        <is>
          <t>$11,904,526</t>
        </is>
      </c>
      <c r="D6" s="6" t="inlineStr">
        <is>
          <t>From 2026 plan - held constant</t>
        </is>
      </c>
    </row>
    <row r="7">
      <c r="A7" s="6" t="inlineStr"/>
      <c r="B7" s="6" t="inlineStr"/>
      <c r="C7" s="6" t="inlineStr"/>
      <c r="D7" s="6" t="inlineStr"/>
    </row>
    <row r="8">
      <c r="A8" s="4" t="inlineStr">
        <is>
          <t>STAFF COSTS</t>
        </is>
      </c>
      <c r="B8" s="4" t="inlineStr"/>
      <c r="C8" s="4" t="inlineStr"/>
      <c r="D8" s="4" t="inlineStr"/>
    </row>
    <row r="9">
      <c r="A9" s="6" t="inlineStr">
        <is>
          <t>Base Salaries</t>
        </is>
      </c>
      <c r="B9" s="6" t="inlineStr">
        <is>
          <t>$5,455,000</t>
        </is>
      </c>
      <c r="C9" s="6" t="inlineStr">
        <is>
          <t>$3,273,000</t>
        </is>
      </c>
      <c r="D9" s="6" t="inlineStr">
        <is>
          <t>AOTF salary data</t>
        </is>
      </c>
    </row>
    <row r="10">
      <c r="A10" s="5" t="inlineStr">
        <is>
          <t>+ Staff Loading (21%)</t>
        </is>
      </c>
      <c r="B10" s="5" t="inlineStr">
        <is>
          <t>$1,145,550</t>
        </is>
      </c>
      <c r="C10" s="5" t="inlineStr">
        <is>
          <t>$687,330</t>
        </is>
      </c>
      <c r="D10" s="5" t="inlineStr">
        <is>
          <t>See Assumptions sheet</t>
        </is>
      </c>
    </row>
    <row r="11">
      <c r="A11" s="7">
        <f> Total Staff Cost</f>
        <v/>
      </c>
      <c r="B11" s="7" t="inlineStr">
        <is>
          <t>$6,600,550</t>
        </is>
      </c>
      <c r="C11" s="7" t="inlineStr">
        <is>
          <t>$3,960,330</t>
        </is>
      </c>
      <c r="D11" s="7" t="inlineStr">
        <is>
          <t>Formula: Base × 1.21</t>
        </is>
      </c>
    </row>
    <row r="12">
      <c r="A12" s="6" t="inlineStr"/>
      <c r="B12" s="6" t="inlineStr"/>
      <c r="C12" s="6" t="inlineStr"/>
      <c r="D12" s="6" t="inlineStr"/>
    </row>
    <row r="13">
      <c r="A13" s="7" t="inlineStr">
        <is>
          <t>GROSS PROFIT</t>
        </is>
      </c>
      <c r="B13" s="7" t="inlineStr">
        <is>
          <t>$5,303,976</t>
        </is>
      </c>
      <c r="C13" s="7" t="inlineStr">
        <is>
          <t>$7,944,196</t>
        </is>
      </c>
      <c r="D13" s="7" t="inlineStr">
        <is>
          <t>Revenue - Staff Cost</t>
        </is>
      </c>
    </row>
    <row r="14">
      <c r="A14" s="6" t="inlineStr">
        <is>
          <t>Gross Margin %</t>
        </is>
      </c>
      <c r="B14" s="6" t="inlineStr">
        <is>
          <t>44.6%</t>
        </is>
      </c>
      <c r="C14" s="6" t="inlineStr">
        <is>
          <t>66.7%</t>
        </is>
      </c>
      <c r="D14" s="6" t="inlineStr"/>
    </row>
    <row r="15">
      <c r="A15" s="6" t="inlineStr"/>
      <c r="B15" s="6" t="inlineStr"/>
      <c r="C15" s="6" t="inlineStr"/>
      <c r="D15" s="6" t="inlineStr"/>
    </row>
    <row r="16">
      <c r="A16" s="4" t="inlineStr">
        <is>
          <t>BUSINESS OVERHEAD</t>
        </is>
      </c>
      <c r="B16" s="4" t="inlineStr"/>
      <c r="C16" s="4" t="inlineStr"/>
      <c r="D16" s="4" t="inlineStr"/>
    </row>
    <row r="17">
      <c r="A17" s="5" t="inlineStr">
        <is>
          <t>Operating Costs (13%)</t>
        </is>
      </c>
      <c r="B17" s="5" t="inlineStr">
        <is>
          <t>$1,547,588</t>
        </is>
      </c>
      <c r="C17" s="5" t="inlineStr">
        <is>
          <t>$1,470,209</t>
        </is>
      </c>
      <c r="D17" s="5" t="inlineStr">
        <is>
          <t>See Assumptions sheet</t>
        </is>
      </c>
    </row>
    <row r="18">
      <c r="A18" s="6" t="inlineStr"/>
      <c r="B18" s="6" t="inlineStr"/>
      <c r="C18" s="6" t="inlineStr"/>
      <c r="D18" s="6" t="inlineStr"/>
    </row>
    <row r="19">
      <c r="A19" s="7" t="inlineStr">
        <is>
          <t>OPERATING PROFIT</t>
        </is>
      </c>
      <c r="B19" s="7" t="inlineStr">
        <is>
          <t>$3,756,388</t>
        </is>
      </c>
      <c r="C19" s="7" t="inlineStr">
        <is>
          <t>$6,473,987</t>
        </is>
      </c>
      <c r="D19" s="7" t="inlineStr">
        <is>
          <t>Gross Profit - Overhead</t>
        </is>
      </c>
    </row>
    <row r="20">
      <c r="A20" s="6" t="inlineStr">
        <is>
          <t>Operating Margin %</t>
        </is>
      </c>
      <c r="B20" s="6" t="inlineStr">
        <is>
          <t>31.6%</t>
        </is>
      </c>
      <c r="C20" s="6" t="inlineStr">
        <is>
          <t>54.4%</t>
        </is>
      </c>
      <c r="D20" s="6" t="inlineStr"/>
    </row>
    <row r="21">
      <c r="A21" s="6" t="inlineStr"/>
      <c r="B21" s="6" t="inlineStr"/>
      <c r="C21" s="6" t="inlineStr"/>
      <c r="D21" s="6" t="inlineStr"/>
    </row>
    <row r="22">
      <c r="A22" s="4" t="inlineStr">
        <is>
          <t>KEY METRICS</t>
        </is>
      </c>
      <c r="B22" s="4" t="inlineStr"/>
      <c r="C22" s="4" t="inlineStr"/>
      <c r="D22" s="4" t="inlineStr"/>
    </row>
    <row r="23">
      <c r="A23" s="6" t="inlineStr">
        <is>
          <t>FTE Count</t>
        </is>
      </c>
      <c r="B23" s="6" t="inlineStr">
        <is>
          <t>46</t>
        </is>
      </c>
      <c r="C23" s="6" t="inlineStr">
        <is>
          <t>28</t>
        </is>
      </c>
      <c r="D23" s="6" t="inlineStr">
        <is>
          <t>From org chart</t>
        </is>
      </c>
    </row>
    <row r="24">
      <c r="A24" s="6" t="inlineStr">
        <is>
          <t>Revenue per FTE</t>
        </is>
      </c>
      <c r="B24" s="6" t="inlineStr">
        <is>
          <t>$258,794</t>
        </is>
      </c>
      <c r="C24" s="6" t="inlineStr">
        <is>
          <t>$425,162</t>
        </is>
      </c>
      <c r="D24" s="6" t="inlineStr">
        <is>
          <t>+64% improvement</t>
        </is>
      </c>
    </row>
    <row r="25">
      <c r="A25" s="6" t="inlineStr">
        <is>
          <t>Avg Salary (Base)</t>
        </is>
      </c>
      <c r="B25" s="6" t="inlineStr">
        <is>
          <t>$118,587</t>
        </is>
      </c>
      <c r="C25" s="6" t="inlineStr">
        <is>
          <t>$116,893</t>
        </is>
      </c>
      <c r="D25" s="6" t="inlineStr">
        <is>
          <t>AOTF data</t>
        </is>
      </c>
    </row>
    <row r="26">
      <c r="A26" s="6" t="inlineStr">
        <is>
          <t>Avg Cost per FTE (Loaded)</t>
        </is>
      </c>
      <c r="B26" s="6" t="inlineStr">
        <is>
          <t>$143,490</t>
        </is>
      </c>
      <c r="C26" s="6" t="inlineStr">
        <is>
          <t>$141,440</t>
        </is>
      </c>
      <c r="D26" s="6" t="inlineStr">
        <is>
          <t>With 21% loading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35" customWidth="1" min="4" max="4"/>
    <col width="15" customWidth="1" min="5" max="5"/>
    <col width="15" customWidth="1" min="6" max="6"/>
    <col width="18" customWidth="1" min="7" max="7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Title</t>
        </is>
      </c>
      <c r="D1" s="4" t="inlineStr">
        <is>
          <t>AOTF Role</t>
        </is>
      </c>
      <c r="E1" s="4" t="inlineStr">
        <is>
          <t>Base Salary</t>
        </is>
      </c>
      <c r="F1" s="4" t="inlineStr">
        <is>
          <t>Loaded Cost</t>
        </is>
      </c>
      <c r="G1" s="4" t="inlineStr">
        <is>
          <t>Dept</t>
        </is>
      </c>
    </row>
    <row r="2">
      <c r="A2" s="6" t="n">
        <v>1</v>
      </c>
      <c r="B2" s="6" t="inlineStr">
        <is>
          <t>Blair Alexander</t>
        </is>
      </c>
      <c r="C2" s="6" t="inlineStr">
        <is>
          <t>CEO Media</t>
        </is>
      </c>
      <c r="D2" s="6" t="inlineStr">
        <is>
          <t>Chief Strategy Officer</t>
        </is>
      </c>
      <c r="E2" s="8" t="n">
        <v>250000</v>
      </c>
      <c r="F2" s="8" t="n">
        <v>302500</v>
      </c>
      <c r="G2" s="6" t="inlineStr">
        <is>
          <t>Leadership</t>
        </is>
      </c>
    </row>
    <row r="3">
      <c r="A3" s="6" t="n">
        <v>2</v>
      </c>
      <c r="B3" s="6" t="inlineStr">
        <is>
          <t>Terri Collier</t>
        </is>
      </c>
      <c r="C3" s="6" t="inlineStr">
        <is>
          <t>Managing Partner</t>
        </is>
      </c>
      <c r="D3" s="6" t="inlineStr">
        <is>
          <t>Chief Strategy Officer</t>
        </is>
      </c>
      <c r="E3" s="8" t="n">
        <v>250000</v>
      </c>
      <c r="F3" s="8" t="n">
        <v>302500</v>
      </c>
      <c r="G3" s="6" t="inlineStr">
        <is>
          <t>Leadership</t>
        </is>
      </c>
    </row>
    <row r="4">
      <c r="A4" s="6" t="n">
        <v>3</v>
      </c>
      <c r="B4" s="6" t="inlineStr">
        <is>
          <t>Luz Valenzano</t>
        </is>
      </c>
      <c r="C4" s="6" t="inlineStr">
        <is>
          <t>Growth &amp; Perf Director</t>
        </is>
      </c>
      <c r="D4" s="6" t="inlineStr">
        <is>
          <t>Head of Performance</t>
        </is>
      </c>
      <c r="E4" s="8" t="n">
        <v>150000</v>
      </c>
      <c r="F4" s="8" t="n">
        <v>181500</v>
      </c>
      <c r="G4" s="6" t="inlineStr">
        <is>
          <t>Leadership</t>
        </is>
      </c>
    </row>
    <row r="5">
      <c r="A5" s="6" t="n">
        <v>4</v>
      </c>
      <c r="B5" s="6" t="inlineStr">
        <is>
          <t>Christopher Thomas</t>
        </is>
      </c>
      <c r="C5" s="6" t="inlineStr">
        <is>
          <t>Head of Product &amp; Strategy</t>
        </is>
      </c>
      <c r="D5" s="6" t="inlineStr">
        <is>
          <t>Group Strategy &amp; Product Dir</t>
        </is>
      </c>
      <c r="E5" s="8" t="n">
        <v>200000</v>
      </c>
      <c r="F5" s="8" t="n">
        <v>242000</v>
      </c>
      <c r="G5" s="6" t="inlineStr">
        <is>
          <t>Strategy</t>
        </is>
      </c>
    </row>
    <row r="6">
      <c r="A6" s="6" t="n">
        <v>5</v>
      </c>
      <c r="B6" s="6" t="inlineStr">
        <is>
          <t>Ashleigh Vreeburg</t>
        </is>
      </c>
      <c r="C6" s="6" t="inlineStr">
        <is>
          <t>Comms Design Director</t>
        </is>
      </c>
      <c r="D6" s="6" t="inlineStr">
        <is>
          <t>Communications Design Director</t>
        </is>
      </c>
      <c r="E6" s="8" t="n">
        <v>150000</v>
      </c>
      <c r="F6" s="8" t="n">
        <v>181500</v>
      </c>
      <c r="G6" s="6" t="inlineStr">
        <is>
          <t>Strategy</t>
        </is>
      </c>
    </row>
    <row r="7">
      <c r="A7" s="6" t="n">
        <v>6</v>
      </c>
      <c r="B7" s="6" t="inlineStr">
        <is>
          <t>Christine So</t>
        </is>
      </c>
      <c r="C7" s="6" t="inlineStr">
        <is>
          <t>Group Digital Planning Dir</t>
        </is>
      </c>
      <c r="D7" s="6" t="inlineStr">
        <is>
          <t>Group Digital Planning Director</t>
        </is>
      </c>
      <c r="E7" s="8" t="n">
        <v>150000</v>
      </c>
      <c r="F7" s="8" t="n">
        <v>181500</v>
      </c>
      <c r="G7" s="6" t="inlineStr">
        <is>
          <t>Strategy</t>
        </is>
      </c>
    </row>
    <row r="8">
      <c r="A8" s="6" t="n">
        <v>7</v>
      </c>
      <c r="B8" s="6" t="inlineStr">
        <is>
          <t>Pauline So</t>
        </is>
      </c>
      <c r="C8" s="6" t="inlineStr">
        <is>
          <t>Group Business Director</t>
        </is>
      </c>
      <c r="D8" s="6" t="inlineStr">
        <is>
          <t>Group Business Director</t>
        </is>
      </c>
      <c r="E8" s="8" t="n">
        <v>175000</v>
      </c>
      <c r="F8" s="8" t="n">
        <v>211750</v>
      </c>
      <c r="G8" s="6" t="inlineStr">
        <is>
          <t>Account Service</t>
        </is>
      </c>
    </row>
    <row r="9">
      <c r="A9" s="6" t="n">
        <v>8</v>
      </c>
      <c r="B9" s="6" t="inlineStr">
        <is>
          <t>Keegan Flood</t>
        </is>
      </c>
      <c r="C9" s="6" t="inlineStr">
        <is>
          <t>Group Business Director</t>
        </is>
      </c>
      <c r="D9" s="6" t="inlineStr">
        <is>
          <t>Group Business Director</t>
        </is>
      </c>
      <c r="E9" s="8" t="n">
        <v>175000</v>
      </c>
      <c r="F9" s="8" t="n">
        <v>211750</v>
      </c>
      <c r="G9" s="6" t="inlineStr">
        <is>
          <t>Account Service</t>
        </is>
      </c>
    </row>
    <row r="10">
      <c r="A10" s="6" t="n">
        <v>9</v>
      </c>
      <c r="B10" s="6" t="inlineStr">
        <is>
          <t>Shona Foster</t>
        </is>
      </c>
      <c r="C10" s="6" t="inlineStr">
        <is>
          <t>Group Business Director</t>
        </is>
      </c>
      <c r="D10" s="6" t="inlineStr">
        <is>
          <t>Group Business Director</t>
        </is>
      </c>
      <c r="E10" s="8" t="n">
        <v>175000</v>
      </c>
      <c r="F10" s="8" t="n">
        <v>211750</v>
      </c>
      <c r="G10" s="6" t="inlineStr">
        <is>
          <t>Account Service</t>
        </is>
      </c>
    </row>
    <row r="11">
      <c r="A11" s="6" t="n">
        <v>10</v>
      </c>
      <c r="B11" s="6" t="inlineStr">
        <is>
          <t>Scarlet Harvey</t>
        </is>
      </c>
      <c r="C11" s="6" t="inlineStr">
        <is>
          <t>Group Business Director</t>
        </is>
      </c>
      <c r="D11" s="6" t="inlineStr">
        <is>
          <t>Group Business Director</t>
        </is>
      </c>
      <c r="E11" s="8" t="n">
        <v>175000</v>
      </c>
      <c r="F11" s="8" t="n">
        <v>211750</v>
      </c>
      <c r="G11" s="6" t="inlineStr">
        <is>
          <t>Account Service</t>
        </is>
      </c>
    </row>
    <row r="12">
      <c r="A12" s="6" t="n">
        <v>11</v>
      </c>
      <c r="B12" s="6" t="inlineStr">
        <is>
          <t>Moniqusa Somers</t>
        </is>
      </c>
      <c r="C12" s="6" t="inlineStr">
        <is>
          <t>Business Director</t>
        </is>
      </c>
      <c r="D12" s="6" t="inlineStr">
        <is>
          <t>Business Director</t>
        </is>
      </c>
      <c r="E12" s="8" t="n">
        <v>125000</v>
      </c>
      <c r="F12" s="8" t="n">
        <v>151250</v>
      </c>
      <c r="G12" s="6" t="inlineStr">
        <is>
          <t>Account Service</t>
        </is>
      </c>
    </row>
    <row r="13">
      <c r="A13" s="6" t="n">
        <v>12</v>
      </c>
      <c r="B13" s="6" t="inlineStr">
        <is>
          <t>Ashley Heikens</t>
        </is>
      </c>
      <c r="C13" s="6" t="inlineStr">
        <is>
          <t>Business Director</t>
        </is>
      </c>
      <c r="D13" s="6" t="inlineStr">
        <is>
          <t>Business Director</t>
        </is>
      </c>
      <c r="E13" s="8" t="n">
        <v>125000</v>
      </c>
      <c r="F13" s="8" t="n">
        <v>151250</v>
      </c>
      <c r="G13" s="6" t="inlineStr">
        <is>
          <t>Account Service</t>
        </is>
      </c>
    </row>
    <row r="14">
      <c r="A14" s="6" t="n">
        <v>13</v>
      </c>
      <c r="B14" s="6" t="inlineStr">
        <is>
          <t>Anna Rowhiu</t>
        </is>
      </c>
      <c r="C14" s="6" t="inlineStr">
        <is>
          <t>Digital Director</t>
        </is>
      </c>
      <c r="D14" s="6" t="inlineStr">
        <is>
          <t>Business Director</t>
        </is>
      </c>
      <c r="E14" s="8" t="n">
        <v>125000</v>
      </c>
      <c r="F14" s="8" t="n">
        <v>151250</v>
      </c>
      <c r="G14" s="6" t="inlineStr">
        <is>
          <t>Account Service</t>
        </is>
      </c>
    </row>
    <row r="15">
      <c r="A15" s="6" t="n">
        <v>14</v>
      </c>
      <c r="B15" s="6" t="inlineStr">
        <is>
          <t>Kristy McAfee</t>
        </is>
      </c>
      <c r="C15" s="6" t="inlineStr">
        <is>
          <t>Assoc Business Director</t>
        </is>
      </c>
      <c r="D15" s="6" t="inlineStr">
        <is>
          <t>Associate Business Director</t>
        </is>
      </c>
      <c r="E15" s="8" t="n">
        <v>110000</v>
      </c>
      <c r="F15" s="8" t="n">
        <v>133100</v>
      </c>
      <c r="G15" s="6" t="inlineStr">
        <is>
          <t>Account Service</t>
        </is>
      </c>
    </row>
    <row r="16">
      <c r="A16" s="6" t="n">
        <v>15</v>
      </c>
      <c r="B16" s="6" t="inlineStr">
        <is>
          <t>Madeline Shaw</t>
        </is>
      </c>
      <c r="C16" s="6" t="inlineStr">
        <is>
          <t>Assoc Business Director</t>
        </is>
      </c>
      <c r="D16" s="6" t="inlineStr">
        <is>
          <t>Associate Business Director</t>
        </is>
      </c>
      <c r="E16" s="8" t="n">
        <v>110000</v>
      </c>
      <c r="F16" s="8" t="n">
        <v>133100</v>
      </c>
      <c r="G16" s="6" t="inlineStr">
        <is>
          <t>Account Service</t>
        </is>
      </c>
    </row>
    <row r="17">
      <c r="A17" s="6" t="n">
        <v>16</v>
      </c>
      <c r="B17" s="6" t="inlineStr">
        <is>
          <t>Pamela Figueroa</t>
        </is>
      </c>
      <c r="C17" s="6" t="inlineStr">
        <is>
          <t>Assoc Business Director</t>
        </is>
      </c>
      <c r="D17" s="6" t="inlineStr">
        <is>
          <t>Associate Business Director</t>
        </is>
      </c>
      <c r="E17" s="8" t="n">
        <v>110000</v>
      </c>
      <c r="F17" s="8" t="n">
        <v>133100</v>
      </c>
      <c r="G17" s="6" t="inlineStr">
        <is>
          <t>Account Service</t>
        </is>
      </c>
    </row>
    <row r="18">
      <c r="A18" s="6" t="n">
        <v>17</v>
      </c>
      <c r="B18" s="6" t="inlineStr">
        <is>
          <t>Tara Pillai</t>
        </is>
      </c>
      <c r="C18" s="6" t="inlineStr">
        <is>
          <t>Assoc Business Director</t>
        </is>
      </c>
      <c r="D18" s="6" t="inlineStr">
        <is>
          <t>Associate Business Director</t>
        </is>
      </c>
      <c r="E18" s="8" t="n">
        <v>110000</v>
      </c>
      <c r="F18" s="8" t="n">
        <v>133100</v>
      </c>
      <c r="G18" s="6" t="inlineStr">
        <is>
          <t>Account Service</t>
        </is>
      </c>
    </row>
    <row r="19">
      <c r="A19" s="6" t="n">
        <v>18</v>
      </c>
      <c r="B19" s="6" t="inlineStr">
        <is>
          <t>Joao Ereeg</t>
        </is>
      </c>
      <c r="C19" s="6" t="inlineStr">
        <is>
          <t>Senior Account Manager</t>
        </is>
      </c>
      <c r="D19" s="6" t="inlineStr">
        <is>
          <t>Senior Account Manager</t>
        </is>
      </c>
      <c r="E19" s="8" t="n">
        <v>85000</v>
      </c>
      <c r="F19" s="8" t="n">
        <v>102850</v>
      </c>
      <c r="G19" s="6" t="inlineStr">
        <is>
          <t>Account Service</t>
        </is>
      </c>
    </row>
    <row r="20">
      <c r="A20" s="6" t="n">
        <v>19</v>
      </c>
      <c r="B20" s="6" t="inlineStr">
        <is>
          <t>Max Timmermans</t>
        </is>
      </c>
      <c r="C20" s="6" t="inlineStr">
        <is>
          <t>Account Manager</t>
        </is>
      </c>
      <c r="D20" s="6" t="inlineStr">
        <is>
          <t>Account Manager</t>
        </is>
      </c>
      <c r="E20" s="8" t="n">
        <v>75000</v>
      </c>
      <c r="F20" s="8" t="n">
        <v>90750</v>
      </c>
      <c r="G20" s="6" t="inlineStr">
        <is>
          <t>Account Service</t>
        </is>
      </c>
    </row>
    <row r="21">
      <c r="A21" s="6" t="n">
        <v>20</v>
      </c>
      <c r="B21" s="6" t="inlineStr">
        <is>
          <t>Angus Kay</t>
        </is>
      </c>
      <c r="C21" s="6" t="inlineStr">
        <is>
          <t>Account Manager</t>
        </is>
      </c>
      <c r="D21" s="6" t="inlineStr">
        <is>
          <t>Account Manager</t>
        </is>
      </c>
      <c r="E21" s="8" t="n">
        <v>75000</v>
      </c>
      <c r="F21" s="8" t="n">
        <v>90750</v>
      </c>
      <c r="G21" s="6" t="inlineStr">
        <is>
          <t>Account Service</t>
        </is>
      </c>
    </row>
    <row r="22">
      <c r="A22" s="6" t="n">
        <v>21</v>
      </c>
      <c r="B22" s="6" t="inlineStr">
        <is>
          <t>Ivan Young</t>
        </is>
      </c>
      <c r="C22" s="6" t="inlineStr">
        <is>
          <t>Digital Account Manager</t>
        </is>
      </c>
      <c r="D22" s="6" t="inlineStr">
        <is>
          <t>Account Manager</t>
        </is>
      </c>
      <c r="E22" s="8" t="n">
        <v>75000</v>
      </c>
      <c r="F22" s="8" t="n">
        <v>90750</v>
      </c>
      <c r="G22" s="6" t="inlineStr">
        <is>
          <t>Account Service</t>
        </is>
      </c>
    </row>
    <row r="23">
      <c r="A23" s="6" t="n">
        <v>22</v>
      </c>
      <c r="B23" s="6" t="inlineStr">
        <is>
          <t>Georgia Lane</t>
        </is>
      </c>
      <c r="C23" s="6" t="inlineStr">
        <is>
          <t>Account Executive</t>
        </is>
      </c>
      <c r="D23" s="6" t="inlineStr">
        <is>
          <t>Account Executive</t>
        </is>
      </c>
      <c r="E23" s="8" t="n">
        <v>60000</v>
      </c>
      <c r="F23" s="8" t="n">
        <v>72600</v>
      </c>
      <c r="G23" s="6" t="inlineStr">
        <is>
          <t>Account Service</t>
        </is>
      </c>
    </row>
    <row r="24">
      <c r="A24" s="6" t="n">
        <v>23</v>
      </c>
      <c r="B24" s="6" t="inlineStr">
        <is>
          <t>Zara Galliyan</t>
        </is>
      </c>
      <c r="C24" s="6" t="inlineStr">
        <is>
          <t>Account Executive</t>
        </is>
      </c>
      <c r="D24" s="6" t="inlineStr">
        <is>
          <t>Account Executive</t>
        </is>
      </c>
      <c r="E24" s="8" t="n">
        <v>60000</v>
      </c>
      <c r="F24" s="8" t="n">
        <v>72600</v>
      </c>
      <c r="G24" s="6" t="inlineStr">
        <is>
          <t>Account Service</t>
        </is>
      </c>
    </row>
    <row r="25">
      <c r="A25" s="6" t="n">
        <v>24</v>
      </c>
      <c r="B25" s="6" t="inlineStr">
        <is>
          <t>Riley Wratten-Young</t>
        </is>
      </c>
      <c r="C25" s="6" t="inlineStr">
        <is>
          <t>Account Executive</t>
        </is>
      </c>
      <c r="D25" s="6" t="inlineStr">
        <is>
          <t>Account Executive</t>
        </is>
      </c>
      <c r="E25" s="8" t="n">
        <v>60000</v>
      </c>
      <c r="F25" s="8" t="n">
        <v>72600</v>
      </c>
      <c r="G25" s="6" t="inlineStr">
        <is>
          <t>Account Service</t>
        </is>
      </c>
    </row>
    <row r="26">
      <c r="A26" s="6" t="n">
        <v>25</v>
      </c>
      <c r="B26" s="6" t="inlineStr">
        <is>
          <t>Madeline Kerr</t>
        </is>
      </c>
      <c r="C26" s="6" t="inlineStr">
        <is>
          <t>Account Executive</t>
        </is>
      </c>
      <c r="D26" s="6" t="inlineStr">
        <is>
          <t>Account Executive</t>
        </is>
      </c>
      <c r="E26" s="8" t="n">
        <v>60000</v>
      </c>
      <c r="F26" s="8" t="n">
        <v>72600</v>
      </c>
      <c r="G26" s="6" t="inlineStr">
        <is>
          <t>Account Service</t>
        </is>
      </c>
    </row>
    <row r="27">
      <c r="A27" s="6" t="n">
        <v>26</v>
      </c>
      <c r="B27" s="6" t="inlineStr">
        <is>
          <t>Alex Grant</t>
        </is>
      </c>
      <c r="C27" s="6" t="inlineStr">
        <is>
          <t>Account Executive</t>
        </is>
      </c>
      <c r="D27" s="6" t="inlineStr">
        <is>
          <t>Account Executive</t>
        </is>
      </c>
      <c r="E27" s="8" t="n">
        <v>60000</v>
      </c>
      <c r="F27" s="8" t="n">
        <v>72600</v>
      </c>
      <c r="G27" s="6" t="inlineStr">
        <is>
          <t>Account Service</t>
        </is>
      </c>
    </row>
    <row r="28">
      <c r="A28" s="6" t="n">
        <v>27</v>
      </c>
      <c r="B28" s="6" t="inlineStr">
        <is>
          <t>Agata Ziemkiewicz</t>
        </is>
      </c>
      <c r="C28" s="6" t="inlineStr">
        <is>
          <t>GM Digital Consulting</t>
        </is>
      </c>
      <c r="D28" s="6" t="inlineStr">
        <is>
          <t>General Manager, Digital Consulting</t>
        </is>
      </c>
      <c r="E28" s="8" t="n">
        <v>225000</v>
      </c>
      <c r="F28" s="8" t="n">
        <v>272250</v>
      </c>
      <c r="G28" s="6" t="inlineStr">
        <is>
          <t>Activation</t>
        </is>
      </c>
    </row>
    <row r="29">
      <c r="A29" s="6" t="n">
        <v>28</v>
      </c>
      <c r="B29" s="6" t="inlineStr">
        <is>
          <t>Anje Lilleby</t>
        </is>
      </c>
      <c r="C29" s="6" t="inlineStr">
        <is>
          <t>Head of Performance</t>
        </is>
      </c>
      <c r="D29" s="6" t="inlineStr">
        <is>
          <t>Head of Performance</t>
        </is>
      </c>
      <c r="E29" s="8" t="n">
        <v>150000</v>
      </c>
      <c r="F29" s="8" t="n">
        <v>181500</v>
      </c>
      <c r="G29" s="6" t="inlineStr">
        <is>
          <t>Activation</t>
        </is>
      </c>
    </row>
    <row r="30">
      <c r="A30" s="6" t="n">
        <v>29</v>
      </c>
      <c r="B30" s="6" t="inlineStr">
        <is>
          <t>Leonardo de Paula Rosado</t>
        </is>
      </c>
      <c r="C30" s="6" t="inlineStr">
        <is>
          <t>Sr Search Director</t>
        </is>
      </c>
      <c r="D30" s="6" t="inlineStr">
        <is>
          <t>Sr Search Director</t>
        </is>
      </c>
      <c r="E30" s="8" t="n">
        <v>125000</v>
      </c>
      <c r="F30" s="8" t="n">
        <v>151250</v>
      </c>
      <c r="G30" s="6" t="inlineStr">
        <is>
          <t>Activation</t>
        </is>
      </c>
    </row>
    <row r="31">
      <c r="A31" s="6" t="n">
        <v>30</v>
      </c>
      <c r="B31" s="6" t="inlineStr">
        <is>
          <t>Poornima Chahar</t>
        </is>
      </c>
      <c r="C31" s="6" t="inlineStr">
        <is>
          <t>Sr Search Director (Leave)</t>
        </is>
      </c>
      <c r="D31" s="6" t="inlineStr">
        <is>
          <t>Sr Search Director</t>
        </is>
      </c>
      <c r="E31" s="8" t="n">
        <v>125000</v>
      </c>
      <c r="F31" s="8" t="n">
        <v>151250</v>
      </c>
      <c r="G31" s="6" t="inlineStr">
        <is>
          <t>Activation</t>
        </is>
      </c>
    </row>
    <row r="32">
      <c r="A32" s="6" t="n">
        <v>31</v>
      </c>
      <c r="B32" s="6" t="inlineStr">
        <is>
          <t>Romi Aggarwal</t>
        </is>
      </c>
      <c r="C32" s="6" t="inlineStr">
        <is>
          <t>Search Director</t>
        </is>
      </c>
      <c r="D32" s="6" t="inlineStr">
        <is>
          <t>Search Director</t>
        </is>
      </c>
      <c r="E32" s="8" t="n">
        <v>105000</v>
      </c>
      <c r="F32" s="8" t="n">
        <v>127050</v>
      </c>
      <c r="G32" s="6" t="inlineStr">
        <is>
          <t>Activation</t>
        </is>
      </c>
    </row>
    <row r="33">
      <c r="A33" s="6" t="n">
        <v>32</v>
      </c>
      <c r="B33" s="6" t="inlineStr">
        <is>
          <t>Jono Dymond</t>
        </is>
      </c>
      <c r="C33" s="6" t="inlineStr">
        <is>
          <t>Sr Search Manager</t>
        </is>
      </c>
      <c r="D33" s="6" t="inlineStr">
        <is>
          <t>Search Director</t>
        </is>
      </c>
      <c r="E33" s="8" t="n">
        <v>105000</v>
      </c>
      <c r="F33" s="8" t="n">
        <v>127050</v>
      </c>
      <c r="G33" s="6" t="inlineStr">
        <is>
          <t>Activation</t>
        </is>
      </c>
    </row>
    <row r="34">
      <c r="A34" s="6" t="n">
        <v>33</v>
      </c>
      <c r="B34" s="6" t="inlineStr">
        <is>
          <t>Lara Sinclair</t>
        </is>
      </c>
      <c r="C34" s="6" t="inlineStr">
        <is>
          <t>Performance Manager</t>
        </is>
      </c>
      <c r="D34" s="6" t="inlineStr">
        <is>
          <t>Performance Manager</t>
        </is>
      </c>
      <c r="E34" s="8" t="n">
        <v>80000</v>
      </c>
      <c r="F34" s="8" t="n">
        <v>96800</v>
      </c>
      <c r="G34" s="6" t="inlineStr">
        <is>
          <t>Activation</t>
        </is>
      </c>
    </row>
    <row r="35">
      <c r="A35" s="6" t="n">
        <v>34</v>
      </c>
      <c r="B35" s="6" t="inlineStr">
        <is>
          <t>Shen He</t>
        </is>
      </c>
      <c r="C35" s="6" t="inlineStr">
        <is>
          <t>Activation Manager</t>
        </is>
      </c>
      <c r="D35" s="6" t="inlineStr">
        <is>
          <t>Activation Manager</t>
        </is>
      </c>
      <c r="E35" s="8" t="n">
        <v>80000</v>
      </c>
      <c r="F35" s="8" t="n">
        <v>96800</v>
      </c>
      <c r="G35" s="6" t="inlineStr">
        <is>
          <t>Activation</t>
        </is>
      </c>
    </row>
    <row r="36">
      <c r="A36" s="6" t="n">
        <v>35</v>
      </c>
      <c r="B36" s="6" t="inlineStr">
        <is>
          <t>Jo Tang</t>
        </is>
      </c>
      <c r="C36" s="6" t="inlineStr">
        <is>
          <t>Sr Activation Executive</t>
        </is>
      </c>
      <c r="D36" s="6" t="inlineStr">
        <is>
          <t>Senior Activation Executive</t>
        </is>
      </c>
      <c r="E36" s="8" t="n">
        <v>70000</v>
      </c>
      <c r="F36" s="8" t="n">
        <v>84700</v>
      </c>
      <c r="G36" s="6" t="inlineStr">
        <is>
          <t>Activation</t>
        </is>
      </c>
    </row>
    <row r="37">
      <c r="A37" s="6" t="n">
        <v>36</v>
      </c>
      <c r="B37" s="6" t="inlineStr">
        <is>
          <t>Truc Vu</t>
        </is>
      </c>
      <c r="C37" s="6" t="inlineStr">
        <is>
          <t>Sr Activation Planner</t>
        </is>
      </c>
      <c r="D37" s="6" t="inlineStr">
        <is>
          <t>Senior Activation Planner</t>
        </is>
      </c>
      <c r="E37" s="8" t="n">
        <v>95000</v>
      </c>
      <c r="F37" s="8" t="n">
        <v>114950</v>
      </c>
      <c r="G37" s="6" t="inlineStr">
        <is>
          <t>Activation</t>
        </is>
      </c>
    </row>
    <row r="38">
      <c r="A38" s="6" t="n">
        <v>37</v>
      </c>
      <c r="B38" s="6" t="inlineStr">
        <is>
          <t>Selene Cherian</t>
        </is>
      </c>
      <c r="C38" s="6" t="inlineStr">
        <is>
          <t>Sr Activation Planner</t>
        </is>
      </c>
      <c r="D38" s="6" t="inlineStr">
        <is>
          <t>Senior Activation Planner</t>
        </is>
      </c>
      <c r="E38" s="8" t="n">
        <v>95000</v>
      </c>
      <c r="F38" s="8" t="n">
        <v>114950</v>
      </c>
      <c r="G38" s="6" t="inlineStr">
        <is>
          <t>Activation</t>
        </is>
      </c>
    </row>
    <row r="39">
      <c r="A39" s="6" t="n">
        <v>38</v>
      </c>
      <c r="B39" s="6" t="inlineStr">
        <is>
          <t>Niya Matthew</t>
        </is>
      </c>
      <c r="C39" s="6" t="inlineStr">
        <is>
          <t>Activation Executive</t>
        </is>
      </c>
      <c r="D39" s="6" t="inlineStr">
        <is>
          <t>Activation Executive</t>
        </is>
      </c>
      <c r="E39" s="8" t="n">
        <v>60000</v>
      </c>
      <c r="F39" s="8" t="n">
        <v>72600</v>
      </c>
      <c r="G39" s="6" t="inlineStr">
        <is>
          <t>Activation</t>
        </is>
      </c>
    </row>
    <row r="40">
      <c r="A40" s="6" t="n">
        <v>39</v>
      </c>
      <c r="B40" s="6" t="inlineStr">
        <is>
          <t>David Turner</t>
        </is>
      </c>
      <c r="C40" s="6" t="inlineStr">
        <is>
          <t>Chief Investment Officer</t>
        </is>
      </c>
      <c r="D40" s="6" t="inlineStr">
        <is>
          <t>Chief Investment Officer</t>
        </is>
      </c>
      <c r="E40" s="8" t="n">
        <v>250000</v>
      </c>
      <c r="F40" s="8" t="n">
        <v>302500</v>
      </c>
      <c r="G40" s="6" t="inlineStr">
        <is>
          <t>Investment</t>
        </is>
      </c>
    </row>
    <row r="41">
      <c r="A41" s="6" t="n">
        <v>40</v>
      </c>
      <c r="B41" s="6" t="inlineStr">
        <is>
          <t>Nina Radojkovich</t>
        </is>
      </c>
      <c r="C41" s="6" t="inlineStr">
        <is>
          <t>Investment &amp; Partnerships Dir</t>
        </is>
      </c>
      <c r="D41" s="6" t="inlineStr">
        <is>
          <t>Investment &amp; Partnerships Director</t>
        </is>
      </c>
      <c r="E41" s="8" t="n">
        <v>125000</v>
      </c>
      <c r="F41" s="8" t="n">
        <v>151250</v>
      </c>
      <c r="G41" s="6" t="inlineStr">
        <is>
          <t>Investment</t>
        </is>
      </c>
    </row>
    <row r="42">
      <c r="A42" s="6" t="n">
        <v>41</v>
      </c>
      <c r="B42" s="6" t="inlineStr">
        <is>
          <t>Stephanie Halliday</t>
        </is>
      </c>
      <c r="C42" s="6" t="inlineStr">
        <is>
          <t>Assoc I&amp;P Director</t>
        </is>
      </c>
      <c r="D42" s="6" t="inlineStr">
        <is>
          <t>Associate Investment &amp; Partnerships Dir</t>
        </is>
      </c>
      <c r="E42" s="8" t="n">
        <v>110000</v>
      </c>
      <c r="F42" s="8" t="n">
        <v>133100</v>
      </c>
      <c r="G42" s="6" t="inlineStr">
        <is>
          <t>Investment</t>
        </is>
      </c>
    </row>
    <row r="43">
      <c r="A43" s="6" t="n">
        <v>42</v>
      </c>
      <c r="B43" s="6" t="inlineStr">
        <is>
          <t>Ketan Narsinh</t>
        </is>
      </c>
      <c r="C43" s="6" t="inlineStr">
        <is>
          <t>Assoc I&amp;P Director</t>
        </is>
      </c>
      <c r="D43" s="6" t="inlineStr">
        <is>
          <t>Associate Investment &amp; Partnerships Dir</t>
        </is>
      </c>
      <c r="E43" s="8" t="n">
        <v>110000</v>
      </c>
      <c r="F43" s="8" t="n">
        <v>133100</v>
      </c>
      <c r="G43" s="6" t="inlineStr">
        <is>
          <t>Investment</t>
        </is>
      </c>
    </row>
    <row r="44">
      <c r="A44" s="6" t="n">
        <v>43</v>
      </c>
      <c r="B44" s="6" t="inlineStr">
        <is>
          <t>Fergus Ellis</t>
        </is>
      </c>
      <c r="C44" s="6" t="inlineStr">
        <is>
          <t>Investment Manager</t>
        </is>
      </c>
      <c r="D44" s="6" t="inlineStr">
        <is>
          <t>Investment Manager</t>
        </is>
      </c>
      <c r="E44" s="8" t="n">
        <v>80000</v>
      </c>
      <c r="F44" s="8" t="n">
        <v>96800</v>
      </c>
      <c r="G44" s="6" t="inlineStr">
        <is>
          <t>Investment</t>
        </is>
      </c>
    </row>
    <row r="45">
      <c r="A45" s="6" t="n">
        <v>44</v>
      </c>
      <c r="B45" s="6" t="inlineStr">
        <is>
          <t>Joe Taylor</t>
        </is>
      </c>
      <c r="C45" s="6" t="inlineStr">
        <is>
          <t>Sr Investment Executive</t>
        </is>
      </c>
      <c r="D45" s="6" t="inlineStr">
        <is>
          <t>Sr Investment Executive</t>
        </is>
      </c>
      <c r="E45" s="8" t="n">
        <v>70000</v>
      </c>
      <c r="F45" s="8" t="n">
        <v>84700</v>
      </c>
      <c r="G45" s="6" t="inlineStr">
        <is>
          <t>Investment</t>
        </is>
      </c>
    </row>
    <row r="46">
      <c r="A46" s="6" t="n">
        <v>45</v>
      </c>
      <c r="B46" s="6" t="inlineStr">
        <is>
          <t>Regan Neville</t>
        </is>
      </c>
      <c r="C46" s="6" t="inlineStr">
        <is>
          <t>Investment Executive</t>
        </is>
      </c>
      <c r="D46" s="6" t="inlineStr">
        <is>
          <t>Investment Executive</t>
        </is>
      </c>
      <c r="E46" s="8" t="n">
        <v>60000</v>
      </c>
      <c r="F46" s="8" t="n">
        <v>72600</v>
      </c>
      <c r="G46" s="6" t="inlineStr">
        <is>
          <t>Investment</t>
        </is>
      </c>
    </row>
    <row r="47">
      <c r="A47" s="6" t="n">
        <v>46</v>
      </c>
      <c r="B47" s="6" t="inlineStr">
        <is>
          <t>Gemma Mackie</t>
        </is>
      </c>
      <c r="C47" s="6" t="inlineStr">
        <is>
          <t>Investment Executive</t>
        </is>
      </c>
      <c r="D47" s="6" t="inlineStr">
        <is>
          <t>Investment Executive</t>
        </is>
      </c>
      <c r="E47" s="8" t="n">
        <v>60000</v>
      </c>
      <c r="F47" s="8" t="n">
        <v>72600</v>
      </c>
      <c r="G47" s="6" t="inlineStr">
        <is>
          <t>Investment</t>
        </is>
      </c>
    </row>
    <row r="48">
      <c r="A48" s="4" t="inlineStr"/>
      <c r="B48" s="4" t="inlineStr">
        <is>
          <t>TOTAL</t>
        </is>
      </c>
      <c r="C48" s="4" t="inlineStr"/>
      <c r="D48" s="4" t="inlineStr"/>
      <c r="E48" s="9" t="n">
        <v>5455000</v>
      </c>
      <c r="F48" s="9" t="n">
        <v>6600550</v>
      </c>
      <c r="G4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OFFICIAL AOTF SALARY DATA + LOADED COSTS</t>
        </is>
      </c>
    </row>
    <row r="3">
      <c r="A3" s="4" t="inlineStr">
        <is>
          <t>Role</t>
        </is>
      </c>
      <c r="B3" s="4" t="inlineStr">
        <is>
          <t>Base Salary</t>
        </is>
      </c>
      <c r="C3" s="4" t="inlineStr">
        <is>
          <t># Positions</t>
        </is>
      </c>
      <c r="D3" s="4" t="inlineStr">
        <is>
          <t>Base Total</t>
        </is>
      </c>
      <c r="E3" s="4" t="inlineStr">
        <is>
          <t>Loaded Total (×1.21)</t>
        </is>
      </c>
    </row>
    <row r="4">
      <c r="A4" s="6" t="inlineStr">
        <is>
          <t>Chief Strategy Officer</t>
        </is>
      </c>
      <c r="B4" s="8" t="n">
        <v>250000</v>
      </c>
      <c r="C4" s="6" t="n">
        <v>2</v>
      </c>
      <c r="D4" s="8" t="n">
        <v>500000</v>
      </c>
      <c r="E4" s="8" t="n">
        <v>605000</v>
      </c>
    </row>
    <row r="5">
      <c r="A5" s="6" t="inlineStr">
        <is>
          <t>Group Strategy &amp; Product Director</t>
        </is>
      </c>
      <c r="B5" s="8" t="n">
        <v>200000</v>
      </c>
      <c r="C5" s="6" t="n">
        <v>1</v>
      </c>
      <c r="D5" s="8" t="n">
        <v>200000</v>
      </c>
      <c r="E5" s="8" t="n">
        <v>242000</v>
      </c>
    </row>
    <row r="6">
      <c r="A6" s="6" t="inlineStr">
        <is>
          <t>Group Business Director</t>
        </is>
      </c>
      <c r="B6" s="8" t="n">
        <v>175000</v>
      </c>
      <c r="C6" s="6" t="n">
        <v>4</v>
      </c>
      <c r="D6" s="8" t="n">
        <v>700000</v>
      </c>
      <c r="E6" s="8" t="n">
        <v>847000</v>
      </c>
    </row>
    <row r="7">
      <c r="A7" s="6" t="inlineStr">
        <is>
          <t>Group Digital Planning Director</t>
        </is>
      </c>
      <c r="B7" s="8" t="n">
        <v>150000</v>
      </c>
      <c r="C7" s="6" t="n">
        <v>1</v>
      </c>
      <c r="D7" s="8" t="n">
        <v>150000</v>
      </c>
      <c r="E7" s="8" t="n">
        <v>181500</v>
      </c>
    </row>
    <row r="8">
      <c r="A8" s="6" t="inlineStr">
        <is>
          <t>Communications Design Director</t>
        </is>
      </c>
      <c r="B8" s="8" t="n">
        <v>150000</v>
      </c>
      <c r="C8" s="6" t="n">
        <v>1</v>
      </c>
      <c r="D8" s="8" t="n">
        <v>150000</v>
      </c>
      <c r="E8" s="8" t="n">
        <v>181500</v>
      </c>
    </row>
    <row r="9">
      <c r="A9" s="6" t="inlineStr">
        <is>
          <t>Head of Performance</t>
        </is>
      </c>
      <c r="B9" s="8" t="n">
        <v>150000</v>
      </c>
      <c r="C9" s="6" t="n">
        <v>2</v>
      </c>
      <c r="D9" s="8" t="n">
        <v>300000</v>
      </c>
      <c r="E9" s="8" t="n">
        <v>363000</v>
      </c>
    </row>
    <row r="10">
      <c r="A10" s="6" t="inlineStr">
        <is>
          <t>Business Director</t>
        </is>
      </c>
      <c r="B10" s="8" t="n">
        <v>125000</v>
      </c>
      <c r="C10" s="6" t="n">
        <v>3</v>
      </c>
      <c r="D10" s="8" t="n">
        <v>375000</v>
      </c>
      <c r="E10" s="8" t="n">
        <v>453750</v>
      </c>
    </row>
    <row r="11">
      <c r="A11" s="6" t="inlineStr">
        <is>
          <t>Sr Search Director</t>
        </is>
      </c>
      <c r="B11" s="8" t="n">
        <v>125000</v>
      </c>
      <c r="C11" s="6" t="n">
        <v>2</v>
      </c>
      <c r="D11" s="8" t="n">
        <v>250000</v>
      </c>
      <c r="E11" s="8" t="n">
        <v>302500</v>
      </c>
    </row>
    <row r="12">
      <c r="A12" s="6" t="inlineStr">
        <is>
          <t>Investment &amp; Partnerships Director</t>
        </is>
      </c>
      <c r="B12" s="8" t="n">
        <v>125000</v>
      </c>
      <c r="C12" s="6" t="n">
        <v>1</v>
      </c>
      <c r="D12" s="8" t="n">
        <v>125000</v>
      </c>
      <c r="E12" s="8" t="n">
        <v>151250</v>
      </c>
    </row>
    <row r="13">
      <c r="A13" s="6" t="inlineStr">
        <is>
          <t>Associate Business Director</t>
        </is>
      </c>
      <c r="B13" s="8" t="n">
        <v>110000</v>
      </c>
      <c r="C13" s="6" t="n">
        <v>4</v>
      </c>
      <c r="D13" s="8" t="n">
        <v>440000</v>
      </c>
      <c r="E13" s="8" t="n">
        <v>532400</v>
      </c>
    </row>
    <row r="14">
      <c r="A14" s="6" t="inlineStr">
        <is>
          <t>Associate Investment &amp; Partnerships Dir</t>
        </is>
      </c>
      <c r="B14" s="8" t="n">
        <v>110000</v>
      </c>
      <c r="C14" s="6" t="n">
        <v>2</v>
      </c>
      <c r="D14" s="8" t="n">
        <v>220000</v>
      </c>
      <c r="E14" s="8" t="n">
        <v>266200</v>
      </c>
    </row>
    <row r="15">
      <c r="A15" s="6" t="inlineStr">
        <is>
          <t>Search Director</t>
        </is>
      </c>
      <c r="B15" s="8" t="n">
        <v>105000</v>
      </c>
      <c r="C15" s="6" t="n">
        <v>2</v>
      </c>
      <c r="D15" s="8" t="n">
        <v>210000</v>
      </c>
      <c r="E15" s="8" t="n">
        <v>254100</v>
      </c>
    </row>
    <row r="16">
      <c r="A16" s="6" t="inlineStr">
        <is>
          <t>Senior Activation Planner</t>
        </is>
      </c>
      <c r="B16" s="8" t="n">
        <v>95000</v>
      </c>
      <c r="C16" s="6" t="n">
        <v>2</v>
      </c>
      <c r="D16" s="8" t="n">
        <v>190000</v>
      </c>
      <c r="E16" s="8" t="n">
        <v>229900</v>
      </c>
    </row>
    <row r="17">
      <c r="A17" s="6" t="inlineStr">
        <is>
          <t>Senior Account Manager</t>
        </is>
      </c>
      <c r="B17" s="8" t="n">
        <v>85000</v>
      </c>
      <c r="C17" s="6" t="n">
        <v>1</v>
      </c>
      <c r="D17" s="8" t="n">
        <v>85000</v>
      </c>
      <c r="E17" s="8" t="n">
        <v>102850</v>
      </c>
    </row>
    <row r="18">
      <c r="A18" s="6" t="inlineStr">
        <is>
          <t>Performance Manager</t>
        </is>
      </c>
      <c r="B18" s="8" t="n">
        <v>80000</v>
      </c>
      <c r="C18" s="6" t="n">
        <v>1</v>
      </c>
      <c r="D18" s="8" t="n">
        <v>80000</v>
      </c>
      <c r="E18" s="8" t="n">
        <v>96800</v>
      </c>
    </row>
    <row r="19">
      <c r="A19" s="6" t="inlineStr">
        <is>
          <t>Activation Manager</t>
        </is>
      </c>
      <c r="B19" s="8" t="n">
        <v>80000</v>
      </c>
      <c r="C19" s="6" t="n">
        <v>1</v>
      </c>
      <c r="D19" s="8" t="n">
        <v>80000</v>
      </c>
      <c r="E19" s="8" t="n">
        <v>96800</v>
      </c>
    </row>
    <row r="20">
      <c r="A20" s="6" t="inlineStr">
        <is>
          <t>Investment Manager</t>
        </is>
      </c>
      <c r="B20" s="8" t="n">
        <v>80000</v>
      </c>
      <c r="C20" s="6" t="n">
        <v>1</v>
      </c>
      <c r="D20" s="8" t="n">
        <v>80000</v>
      </c>
      <c r="E20" s="8" t="n">
        <v>96800</v>
      </c>
    </row>
    <row r="21">
      <c r="A21" s="6" t="inlineStr">
        <is>
          <t>Account Manager</t>
        </is>
      </c>
      <c r="B21" s="8" t="n">
        <v>75000</v>
      </c>
      <c r="C21" s="6" t="n">
        <v>3</v>
      </c>
      <c r="D21" s="8" t="n">
        <v>225000</v>
      </c>
      <c r="E21" s="8" t="n">
        <v>272250</v>
      </c>
    </row>
    <row r="22">
      <c r="A22" s="6" t="inlineStr">
        <is>
          <t>Senior Activation Executive</t>
        </is>
      </c>
      <c r="B22" s="8" t="n">
        <v>70000</v>
      </c>
      <c r="C22" s="6" t="n">
        <v>1</v>
      </c>
      <c r="D22" s="8" t="n">
        <v>70000</v>
      </c>
      <c r="E22" s="8" t="n">
        <v>84700</v>
      </c>
    </row>
    <row r="23">
      <c r="A23" s="6" t="inlineStr">
        <is>
          <t>Sr Investment Executive</t>
        </is>
      </c>
      <c r="B23" s="8" t="n">
        <v>70000</v>
      </c>
      <c r="C23" s="6" t="n">
        <v>1</v>
      </c>
      <c r="D23" s="8" t="n">
        <v>70000</v>
      </c>
      <c r="E23" s="8" t="n">
        <v>84700</v>
      </c>
    </row>
    <row r="24">
      <c r="A24" s="6" t="inlineStr">
        <is>
          <t>Account Executive</t>
        </is>
      </c>
      <c r="B24" s="8" t="n">
        <v>60000</v>
      </c>
      <c r="C24" s="6" t="n">
        <v>5</v>
      </c>
      <c r="D24" s="8" t="n">
        <v>300000</v>
      </c>
      <c r="E24" s="8" t="n">
        <v>363000</v>
      </c>
    </row>
    <row r="25">
      <c r="A25" s="6" t="inlineStr">
        <is>
          <t>Activation Executive</t>
        </is>
      </c>
      <c r="B25" s="8" t="n">
        <v>60000</v>
      </c>
      <c r="C25" s="6" t="n">
        <v>1</v>
      </c>
      <c r="D25" s="8" t="n">
        <v>60000</v>
      </c>
      <c r="E25" s="8" t="n">
        <v>72600</v>
      </c>
    </row>
    <row r="26">
      <c r="A26" s="6" t="inlineStr">
        <is>
          <t>Investment Executive</t>
        </is>
      </c>
      <c r="B26" s="8" t="n">
        <v>60000</v>
      </c>
      <c r="C26" s="6" t="n">
        <v>2</v>
      </c>
      <c r="D26" s="8" t="n">
        <v>120000</v>
      </c>
      <c r="E26" s="8" t="n">
        <v>145200</v>
      </c>
    </row>
    <row r="27">
      <c r="A27" s="6" t="inlineStr">
        <is>
          <t>General Manager, Digital Consulting</t>
        </is>
      </c>
      <c r="B27" s="8" t="n">
        <v>225000</v>
      </c>
      <c r="C27" s="6" t="n">
        <v>1</v>
      </c>
      <c r="D27" s="8" t="n">
        <v>225000</v>
      </c>
      <c r="E27" s="8" t="n">
        <v>272250</v>
      </c>
    </row>
    <row r="28">
      <c r="A28" s="4" t="inlineStr">
        <is>
          <t>TOTAL</t>
        </is>
      </c>
      <c r="B28" s="4" t="inlineStr"/>
      <c r="C28" s="4" t="n">
        <v>46</v>
      </c>
      <c r="D28" s="9" t="n">
        <v>5455000</v>
      </c>
      <c r="E28" s="9" t="n">
        <v>6600550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TASK CLASSIFICATION &amp; AUTOMATION SCORING (AOTF Data)</t>
        </is>
      </c>
    </row>
    <row r="3">
      <c r="A3" s="10" t="inlineStr">
        <is>
          <t>Scoring Methodology: Each role's tasks classified by % Commoditised (automatable), Semi-Judgemental, and Highly Judgemental</t>
        </is>
      </c>
    </row>
    <row r="5">
      <c r="A5" s="4" t="inlineStr">
        <is>
          <t>Role</t>
        </is>
      </c>
      <c r="B5" s="4" t="inlineStr">
        <is>
          <t># FTE</t>
        </is>
      </c>
      <c r="C5" s="4" t="inlineStr">
        <is>
          <t>% Commoditised</t>
        </is>
      </c>
      <c r="D5" s="4" t="inlineStr">
        <is>
          <t>% Semi-Judge</t>
        </is>
      </c>
      <c r="E5" s="4" t="inlineStr">
        <is>
          <t>% Highly Judge</t>
        </is>
      </c>
      <c r="F5" s="4" t="inlineStr">
        <is>
          <t>Risk Level</t>
        </is>
      </c>
    </row>
    <row r="6">
      <c r="A6" s="6" t="inlineStr">
        <is>
          <t>Account Executive</t>
        </is>
      </c>
      <c r="B6" s="6" t="n">
        <v>5</v>
      </c>
      <c r="C6" s="6" t="inlineStr">
        <is>
          <t>77.3%</t>
        </is>
      </c>
      <c r="D6" s="6" t="inlineStr">
        <is>
          <t>22.1%</t>
        </is>
      </c>
      <c r="E6" s="6" t="inlineStr">
        <is>
          <t>0.6%</t>
        </is>
      </c>
      <c r="F6" s="11" t="inlineStr">
        <is>
          <t>CRITICAL</t>
        </is>
      </c>
    </row>
    <row r="7">
      <c r="A7" s="6" t="inlineStr">
        <is>
          <t>Activation Executive</t>
        </is>
      </c>
      <c r="B7" s="6" t="n">
        <v>1</v>
      </c>
      <c r="C7" s="6" t="inlineStr">
        <is>
          <t>75.0%</t>
        </is>
      </c>
      <c r="D7" s="6" t="inlineStr">
        <is>
          <t>25.0%</t>
        </is>
      </c>
      <c r="E7" s="6" t="inlineStr">
        <is>
          <t>0.0%</t>
        </is>
      </c>
      <c r="F7" s="11" t="inlineStr">
        <is>
          <t>CRITICAL</t>
        </is>
      </c>
    </row>
    <row r="8">
      <c r="A8" s="6" t="inlineStr">
        <is>
          <t>Senior Activation Executive</t>
        </is>
      </c>
      <c r="B8" s="6" t="n">
        <v>1</v>
      </c>
      <c r="C8" s="6" t="inlineStr">
        <is>
          <t>65.5%</t>
        </is>
      </c>
      <c r="D8" s="6" t="inlineStr">
        <is>
          <t>34.5%</t>
        </is>
      </c>
      <c r="E8" s="6" t="inlineStr">
        <is>
          <t>0.0%</t>
        </is>
      </c>
      <c r="F8" s="12" t="inlineStr">
        <is>
          <t>HIGH</t>
        </is>
      </c>
    </row>
    <row r="9">
      <c r="A9" s="6" t="inlineStr">
        <is>
          <t>Account Manager</t>
        </is>
      </c>
      <c r="B9" s="6" t="n">
        <v>3</v>
      </c>
      <c r="C9" s="6" t="inlineStr">
        <is>
          <t>44.1%</t>
        </is>
      </c>
      <c r="D9" s="6" t="inlineStr">
        <is>
          <t>54.3%</t>
        </is>
      </c>
      <c r="E9" s="6" t="inlineStr">
        <is>
          <t>1.6%</t>
        </is>
      </c>
      <c r="F9" s="12" t="inlineStr">
        <is>
          <t>HIGH</t>
        </is>
      </c>
    </row>
    <row r="10">
      <c r="A10" s="6" t="inlineStr">
        <is>
          <t>Digital Director</t>
        </is>
      </c>
      <c r="B10" s="6" t="n">
        <v>1</v>
      </c>
      <c r="C10" s="6" t="inlineStr">
        <is>
          <t>34.3%</t>
        </is>
      </c>
      <c r="D10" s="6" t="inlineStr">
        <is>
          <t>52.5%</t>
        </is>
      </c>
      <c r="E10" s="6" t="inlineStr">
        <is>
          <t>13.2%</t>
        </is>
      </c>
      <c r="F10" s="13" t="inlineStr">
        <is>
          <t>MEDIUM</t>
        </is>
      </c>
    </row>
    <row r="11">
      <c r="A11" s="6" t="inlineStr">
        <is>
          <t>Investment Executive</t>
        </is>
      </c>
      <c r="B11" s="6" t="n">
        <v>2</v>
      </c>
      <c r="C11" s="6" t="inlineStr">
        <is>
          <t>29.2%</t>
        </is>
      </c>
      <c r="D11" s="6" t="inlineStr">
        <is>
          <t>22.1%</t>
        </is>
      </c>
      <c r="E11" s="6" t="inlineStr">
        <is>
          <t>48.7%</t>
        </is>
      </c>
      <c r="F11" s="13" t="inlineStr">
        <is>
          <t>MEDIUM</t>
        </is>
      </c>
    </row>
    <row r="12">
      <c r="A12" s="6" t="inlineStr">
        <is>
          <t>Sr Investment Executive</t>
        </is>
      </c>
      <c r="B12" s="6" t="n">
        <v>1</v>
      </c>
      <c r="C12" s="6" t="inlineStr">
        <is>
          <t>23.4%</t>
        </is>
      </c>
      <c r="D12" s="6" t="inlineStr">
        <is>
          <t>27.6%</t>
        </is>
      </c>
      <c r="E12" s="6" t="inlineStr">
        <is>
          <t>49.0%</t>
        </is>
      </c>
      <c r="F12" s="13" t="inlineStr">
        <is>
          <t>MEDIUM</t>
        </is>
      </c>
    </row>
    <row r="13">
      <c r="A13" s="6" t="inlineStr">
        <is>
          <t>Associate Investment &amp; Partnerships Dir</t>
        </is>
      </c>
      <c r="B13" s="6" t="n">
        <v>2</v>
      </c>
      <c r="C13" s="6" t="inlineStr">
        <is>
          <t>21.3%</t>
        </is>
      </c>
      <c r="D13" s="6" t="inlineStr">
        <is>
          <t>25.6%</t>
        </is>
      </c>
      <c r="E13" s="6" t="inlineStr">
        <is>
          <t>53.1%</t>
        </is>
      </c>
      <c r="F13" s="14" t="inlineStr">
        <is>
          <t>LOW</t>
        </is>
      </c>
    </row>
    <row r="14">
      <c r="A14" s="6" t="inlineStr">
        <is>
          <t>Associate Business Director</t>
        </is>
      </c>
      <c r="B14" s="6" t="n">
        <v>4</v>
      </c>
      <c r="C14" s="6" t="inlineStr">
        <is>
          <t>20.0%</t>
        </is>
      </c>
      <c r="D14" s="6" t="inlineStr">
        <is>
          <t>50.5%</t>
        </is>
      </c>
      <c r="E14" s="6" t="inlineStr">
        <is>
          <t>29.5%</t>
        </is>
      </c>
      <c r="F14" s="13" t="inlineStr">
        <is>
          <t>MEDIUM</t>
        </is>
      </c>
    </row>
    <row r="15">
      <c r="A15" s="6" t="inlineStr">
        <is>
          <t>Search Director</t>
        </is>
      </c>
      <c r="B15" s="6" t="n">
        <v>2</v>
      </c>
      <c r="C15" s="6" t="inlineStr">
        <is>
          <t>20.0%</t>
        </is>
      </c>
      <c r="D15" s="6" t="inlineStr">
        <is>
          <t>70.0%</t>
        </is>
      </c>
      <c r="E15" s="6" t="inlineStr">
        <is>
          <t>10.0%</t>
        </is>
      </c>
      <c r="F15" s="13" t="inlineStr">
        <is>
          <t>MEDIUM</t>
        </is>
      </c>
    </row>
    <row r="16">
      <c r="A16" s="6" t="inlineStr">
        <is>
          <t>Sr Search Director</t>
        </is>
      </c>
      <c r="B16" s="6" t="n">
        <v>2</v>
      </c>
      <c r="C16" s="6" t="inlineStr">
        <is>
          <t>20.0%</t>
        </is>
      </c>
      <c r="D16" s="6" t="inlineStr">
        <is>
          <t>70.0%</t>
        </is>
      </c>
      <c r="E16" s="6" t="inlineStr">
        <is>
          <t>10.0%</t>
        </is>
      </c>
      <c r="F16" s="13" t="inlineStr">
        <is>
          <t>MEDIUM</t>
        </is>
      </c>
    </row>
    <row r="17">
      <c r="A17" s="6" t="inlineStr">
        <is>
          <t>Investment &amp; Partnerships Director</t>
        </is>
      </c>
      <c r="B17" s="6" t="n">
        <v>1</v>
      </c>
      <c r="C17" s="6" t="inlineStr">
        <is>
          <t>19.1%</t>
        </is>
      </c>
      <c r="D17" s="6" t="inlineStr">
        <is>
          <t>27.1%</t>
        </is>
      </c>
      <c r="E17" s="6" t="inlineStr">
        <is>
          <t>53.8%</t>
        </is>
      </c>
      <c r="F17" s="14" t="inlineStr">
        <is>
          <t>LOW</t>
        </is>
      </c>
    </row>
    <row r="18">
      <c r="A18" s="6" t="inlineStr">
        <is>
          <t>Investment Manager</t>
        </is>
      </c>
      <c r="B18" s="6" t="n">
        <v>1</v>
      </c>
      <c r="C18" s="6" t="inlineStr">
        <is>
          <t>21.1%</t>
        </is>
      </c>
      <c r="D18" s="6" t="inlineStr">
        <is>
          <t>21.0%</t>
        </is>
      </c>
      <c r="E18" s="6" t="inlineStr">
        <is>
          <t>57.9%</t>
        </is>
      </c>
      <c r="F18" s="14" t="inlineStr">
        <is>
          <t>LOW</t>
        </is>
      </c>
    </row>
    <row r="19">
      <c r="A19" s="6" t="inlineStr">
        <is>
          <t>Senior Activation Planner</t>
        </is>
      </c>
      <c r="B19" s="6" t="n">
        <v>2</v>
      </c>
      <c r="C19" s="6" t="inlineStr">
        <is>
          <t>15.0%</t>
        </is>
      </c>
      <c r="D19" s="6" t="inlineStr">
        <is>
          <t>70.0%</t>
        </is>
      </c>
      <c r="E19" s="6" t="inlineStr">
        <is>
          <t>15.0%</t>
        </is>
      </c>
      <c r="F19" s="13" t="inlineStr">
        <is>
          <t>MEDIUM</t>
        </is>
      </c>
    </row>
    <row r="20">
      <c r="A20" s="6" t="inlineStr">
        <is>
          <t>Group Digital Planning Director</t>
        </is>
      </c>
      <c r="B20" s="6" t="n">
        <v>1</v>
      </c>
      <c r="C20" s="6" t="inlineStr">
        <is>
          <t>7.9%</t>
        </is>
      </c>
      <c r="D20" s="6" t="inlineStr">
        <is>
          <t>38.4%</t>
        </is>
      </c>
      <c r="E20" s="6" t="inlineStr">
        <is>
          <t>53.7%</t>
        </is>
      </c>
      <c r="F20" s="14" t="inlineStr">
        <is>
          <t>LOW</t>
        </is>
      </c>
    </row>
    <row r="21">
      <c r="A21" s="6" t="inlineStr">
        <is>
          <t>Performance Manager</t>
        </is>
      </c>
      <c r="B21" s="6" t="n">
        <v>1</v>
      </c>
      <c r="C21" s="6" t="inlineStr">
        <is>
          <t>7.5%</t>
        </is>
      </c>
      <c r="D21" s="6" t="inlineStr">
        <is>
          <t>92.5%</t>
        </is>
      </c>
      <c r="E21" s="6" t="inlineStr">
        <is>
          <t>0.0%</t>
        </is>
      </c>
      <c r="F21" s="13" t="inlineStr">
        <is>
          <t>MEDIUM</t>
        </is>
      </c>
    </row>
    <row r="22">
      <c r="A22" s="6" t="inlineStr">
        <is>
          <t>Business Director</t>
        </is>
      </c>
      <c r="B22" s="6" t="n">
        <v>3</v>
      </c>
      <c r="C22" s="6" t="inlineStr">
        <is>
          <t>6.7%</t>
        </is>
      </c>
      <c r="D22" s="6" t="inlineStr">
        <is>
          <t>39.4%</t>
        </is>
      </c>
      <c r="E22" s="6" t="inlineStr">
        <is>
          <t>54.0%</t>
        </is>
      </c>
      <c r="F22" s="14" t="inlineStr">
        <is>
          <t>LOW</t>
        </is>
      </c>
    </row>
    <row r="23">
      <c r="A23" s="6" t="inlineStr">
        <is>
          <t>Head of Performance</t>
        </is>
      </c>
      <c r="B23" s="6" t="n">
        <v>2</v>
      </c>
      <c r="C23" s="6" t="inlineStr">
        <is>
          <t>5.0%</t>
        </is>
      </c>
      <c r="D23" s="6" t="inlineStr">
        <is>
          <t>71.8%</t>
        </is>
      </c>
      <c r="E23" s="6" t="inlineStr">
        <is>
          <t>23.2%</t>
        </is>
      </c>
      <c r="F23" s="14" t="inlineStr">
        <is>
          <t>LOW</t>
        </is>
      </c>
    </row>
    <row r="24">
      <c r="A24" s="6" t="inlineStr">
        <is>
          <t>Group Business Director</t>
        </is>
      </c>
      <c r="B24" s="6" t="n">
        <v>4</v>
      </c>
      <c r="C24" s="6" t="inlineStr">
        <is>
          <t>4.9%</t>
        </is>
      </c>
      <c r="D24" s="6" t="inlineStr">
        <is>
          <t>18.1%</t>
        </is>
      </c>
      <c r="E24" s="6" t="inlineStr">
        <is>
          <t>77.0%</t>
        </is>
      </c>
      <c r="F24" s="15" t="inlineStr">
        <is>
          <t>PROTECTED</t>
        </is>
      </c>
    </row>
    <row r="25">
      <c r="A25" s="6" t="inlineStr">
        <is>
          <t>Chief Investment Officer</t>
        </is>
      </c>
      <c r="B25" s="6" t="n">
        <v>1</v>
      </c>
      <c r="C25" s="6" t="inlineStr">
        <is>
          <t>2.8%</t>
        </is>
      </c>
      <c r="D25" s="6" t="inlineStr">
        <is>
          <t>29.0%</t>
        </is>
      </c>
      <c r="E25" s="6" t="inlineStr">
        <is>
          <t>68.3%</t>
        </is>
      </c>
      <c r="F25" s="15" t="inlineStr">
        <is>
          <t>PROTECTED</t>
        </is>
      </c>
    </row>
    <row r="26">
      <c r="A26" s="6" t="inlineStr">
        <is>
          <t>Communications Design Director</t>
        </is>
      </c>
      <c r="B26" s="6" t="n">
        <v>1</v>
      </c>
      <c r="C26" s="6" t="inlineStr">
        <is>
          <t>0.0%</t>
        </is>
      </c>
      <c r="D26" s="6" t="inlineStr">
        <is>
          <t>10.0%</t>
        </is>
      </c>
      <c r="E26" s="6" t="inlineStr">
        <is>
          <t>90.0%</t>
        </is>
      </c>
      <c r="F26" s="15" t="inlineStr">
        <is>
          <t>PROTECTED</t>
        </is>
      </c>
    </row>
    <row r="27">
      <c r="A27" s="6" t="inlineStr">
        <is>
          <t>General Manager, Digital Consulting</t>
        </is>
      </c>
      <c r="B27" s="6" t="n">
        <v>1</v>
      </c>
      <c r="C27" s="6" t="inlineStr">
        <is>
          <t>0.0%</t>
        </is>
      </c>
      <c r="D27" s="6" t="inlineStr">
        <is>
          <t>0.0%</t>
        </is>
      </c>
      <c r="E27" s="6" t="inlineStr">
        <is>
          <t>100.0%</t>
        </is>
      </c>
      <c r="F27" s="15" t="inlineStr">
        <is>
          <t>PROTECTED</t>
        </is>
      </c>
    </row>
    <row r="28">
      <c r="A28" s="6" t="inlineStr">
        <is>
          <t>Group Strategy &amp; Product Director</t>
        </is>
      </c>
      <c r="B28" s="6" t="n">
        <v>1</v>
      </c>
      <c r="C28" s="6" t="inlineStr">
        <is>
          <t>0.0%</t>
        </is>
      </c>
      <c r="D28" s="6" t="inlineStr">
        <is>
          <t>0.0%</t>
        </is>
      </c>
      <c r="E28" s="6" t="inlineStr">
        <is>
          <t>100.0%</t>
        </is>
      </c>
      <c r="F28" s="15" t="inlineStr">
        <is>
          <t>PROTECTED</t>
        </is>
      </c>
    </row>
    <row r="29">
      <c r="A29" s="6" t="inlineStr">
        <is>
          <t>Chief Strategy Officer</t>
        </is>
      </c>
      <c r="B29" s="6" t="n">
        <v>2</v>
      </c>
      <c r="C29" s="6" t="inlineStr">
        <is>
          <t>0.0%</t>
        </is>
      </c>
      <c r="D29" s="6" t="inlineStr">
        <is>
          <t>0.0%</t>
        </is>
      </c>
      <c r="E29" s="6" t="inlineStr">
        <is>
          <t>100.0%</t>
        </is>
      </c>
      <c r="F29" s="15" t="inlineStr">
        <is>
          <t>PROTECTED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0" customWidth="1" min="4" max="4"/>
  </cols>
  <sheetData>
    <row r="1">
      <c r="A1" s="1" t="inlineStr">
        <is>
          <t>PLATFORM DATA vs ACTUAL (Corrected)</t>
        </is>
      </c>
    </row>
    <row r="3">
      <c r="A3" s="4" t="inlineStr">
        <is>
          <t>Metric</t>
        </is>
      </c>
      <c r="B3" s="4" t="inlineStr">
        <is>
          <t>Platform (Current)</t>
        </is>
      </c>
      <c r="C3" s="4" t="inlineStr">
        <is>
          <t>Actual (Corrected)</t>
        </is>
      </c>
      <c r="D3" s="4" t="inlineStr">
        <is>
          <t>Variance</t>
        </is>
      </c>
    </row>
    <row r="4">
      <c r="A4" s="6" t="inlineStr">
        <is>
          <t>Total FTE</t>
        </is>
      </c>
      <c r="B4" s="16" t="n">
        <v>33</v>
      </c>
      <c r="C4" s="17" t="n">
        <v>46</v>
      </c>
      <c r="D4" s="6" t="inlineStr">
        <is>
          <t>+13 (+39%)</t>
        </is>
      </c>
    </row>
    <row r="5">
      <c r="A5" s="6" t="inlineStr">
        <is>
          <t>Base Salary Cost</t>
        </is>
      </c>
      <c r="B5" s="16" t="inlineStr">
        <is>
          <t>$4,000,000</t>
        </is>
      </c>
      <c r="C5" s="17" t="inlineStr">
        <is>
          <t>$5,455,000</t>
        </is>
      </c>
      <c r="D5" s="6" t="inlineStr">
        <is>
          <t>+$1.46M (+36%)</t>
        </is>
      </c>
    </row>
    <row r="6">
      <c r="A6" s="6" t="inlineStr">
        <is>
          <t>Staff Loading Applied</t>
        </is>
      </c>
      <c r="B6" s="16" t="inlineStr">
        <is>
          <t>None (0%)</t>
        </is>
      </c>
      <c r="C6" s="17" t="inlineStr">
        <is>
          <t>21%</t>
        </is>
      </c>
      <c r="D6" s="6" t="inlineStr">
        <is>
          <t>Missing</t>
        </is>
      </c>
    </row>
    <row r="7">
      <c r="A7" s="6" t="inlineStr">
        <is>
          <t>Total Staff Cost (Loaded)</t>
        </is>
      </c>
      <c r="B7" s="16" t="inlineStr">
        <is>
          <t>$4,000,000</t>
        </is>
      </c>
      <c r="C7" s="17" t="inlineStr">
        <is>
          <t>$6,600,550</t>
        </is>
      </c>
      <c r="D7" s="6" t="inlineStr">
        <is>
          <t>+$2.6M (+65%)</t>
        </is>
      </c>
    </row>
    <row r="8">
      <c r="A8" s="6" t="inlineStr">
        <is>
          <t>Business Overhead</t>
        </is>
      </c>
      <c r="B8" s="16" t="inlineStr">
        <is>
          <t>None (0%)</t>
        </is>
      </c>
      <c r="C8" s="17" t="inlineStr">
        <is>
          <t>13% of Revenue</t>
        </is>
      </c>
      <c r="D8" s="6" t="inlineStr">
        <is>
          <t>Missing</t>
        </is>
      </c>
    </row>
    <row r="9">
      <c r="A9" s="6" t="inlineStr">
        <is>
          <t>Overhead $</t>
        </is>
      </c>
      <c r="B9" s="16" t="inlineStr">
        <is>
          <t>$0</t>
        </is>
      </c>
      <c r="C9" s="17" t="inlineStr">
        <is>
          <t>$1,547,588</t>
        </is>
      </c>
      <c r="D9" s="6" t="inlineStr">
        <is>
          <t>+$1.55M</t>
        </is>
      </c>
    </row>
    <row r="10">
      <c r="A10" s="6" t="inlineStr"/>
      <c r="B10" s="6" t="inlineStr"/>
      <c r="C10" s="6" t="inlineStr"/>
      <c r="D10" s="6" t="inlineStr"/>
    </row>
    <row r="11">
      <c r="A11" s="4" t="inlineStr">
        <is>
          <t>RESULTING METRICS</t>
        </is>
      </c>
      <c r="B11" s="4" t="inlineStr"/>
      <c r="C11" s="4" t="inlineStr"/>
      <c r="D11" s="4" t="inlineStr"/>
    </row>
    <row r="12">
      <c r="A12" s="6" t="inlineStr">
        <is>
          <t>Gross Margin</t>
        </is>
      </c>
      <c r="B12" s="16" t="inlineStr">
        <is>
          <t>66.4%</t>
        </is>
      </c>
      <c r="C12" s="17" t="inlineStr">
        <is>
          <t>44.6%</t>
        </is>
      </c>
      <c r="D12" s="6" t="inlineStr">
        <is>
          <t>-21.8 pts</t>
        </is>
      </c>
    </row>
    <row r="13">
      <c r="A13" s="6" t="inlineStr">
        <is>
          <t>Operating Margin</t>
        </is>
      </c>
      <c r="B13" s="16" t="inlineStr">
        <is>
          <t>66.4%</t>
        </is>
      </c>
      <c r="C13" s="17" t="inlineStr">
        <is>
          <t>31.6%</t>
        </is>
      </c>
      <c r="D13" s="6" t="inlineStr">
        <is>
          <t>-34.8 pts</t>
        </is>
      </c>
    </row>
    <row r="14">
      <c r="A14" s="6" t="inlineStr">
        <is>
          <t>Revenue per FTE</t>
        </is>
      </c>
      <c r="B14" s="16" t="inlineStr">
        <is>
          <t>$360,743</t>
        </is>
      </c>
      <c r="C14" s="17" t="inlineStr">
        <is>
          <t>$258,794</t>
        </is>
      </c>
      <c r="D14" s="6" t="inlineStr">
        <is>
          <t>-$102K (-28%)</t>
        </is>
      </c>
    </row>
    <row r="15">
      <c r="A15" s="6" t="inlineStr">
        <is>
          <t>Avg Salary</t>
        </is>
      </c>
      <c r="B15" s="16" t="inlineStr">
        <is>
          <t>$121,212</t>
        </is>
      </c>
      <c r="C15" s="17" t="inlineStr">
        <is>
          <t>$118,587</t>
        </is>
      </c>
      <c r="D15" s="6" t="inlineStr">
        <is>
          <t>-$2.6K</t>
        </is>
      </c>
    </row>
    <row r="16">
      <c r="A16" s="6" t="inlineStr"/>
      <c r="B16" s="6" t="inlineStr"/>
      <c r="C16" s="6" t="inlineStr"/>
      <c r="D16" s="6" t="inlineStr"/>
    </row>
    <row r="17">
      <c r="A17" s="4" t="inlineStr">
        <is>
          <t>40% REDUCTION SCENARIO</t>
        </is>
      </c>
      <c r="B17" s="4" t="inlineStr"/>
      <c r="C17" s="4" t="inlineStr"/>
      <c r="D17" s="4" t="inlineStr"/>
    </row>
    <row r="18">
      <c r="A18" s="6" t="inlineStr">
        <is>
          <t>Target FTE</t>
        </is>
      </c>
      <c r="B18" s="16" t="n">
        <v>20</v>
      </c>
      <c r="C18" s="17" t="n">
        <v>28</v>
      </c>
      <c r="D18" s="6" t="inlineStr">
        <is>
          <t>+8</t>
        </is>
      </c>
    </row>
    <row r="19">
      <c r="A19" s="6" t="inlineStr">
        <is>
          <t>Target Operating Margin</t>
        </is>
      </c>
      <c r="B19" s="16" t="inlineStr">
        <is>
          <t>80%+</t>
        </is>
      </c>
      <c r="C19" s="17" t="inlineStr">
        <is>
          <t>54.4%</t>
        </is>
      </c>
      <c r="D19" s="6" t="inlineStr">
        <is>
          <t>-25+ pts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2026-01-13T23:27:38Z</dcterms:created>
  <dcterms:modified xmlns:dcterms="http://purl.org/dc/terms/" xmlns:xsi="http://www.w3.org/2001/XMLSchema-instance" xsi:type="dcterms:W3CDTF">2026-01-13T23:27:38Z</dcterms:modified>
</cp:coreProperties>
</file>